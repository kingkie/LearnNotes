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Gantt" sheetId="1" r:id="rId1"/>
    <sheet name="Settings" sheetId="4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25725" concurrentCalc="0"/>
</workbook>
</file>

<file path=xl/calcChain.xml><?xml version="1.0" encoding="utf-8"?>
<calcChain xmlns="http://schemas.openxmlformats.org/spreadsheetml/2006/main">
  <c r="J1" i="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G1"/>
  <c r="HH1"/>
  <c r="HI1"/>
  <c r="HJ1"/>
  <c r="HK1"/>
  <c r="HL1"/>
  <c r="HM1"/>
  <c r="HN1"/>
  <c r="HO1"/>
  <c r="HP1"/>
  <c r="HQ1"/>
  <c r="HR1"/>
  <c r="HS1"/>
  <c r="HT1"/>
  <c r="HU1"/>
  <c r="HV1"/>
  <c r="HW1"/>
  <c r="HX1"/>
  <c r="HY1"/>
  <c r="HZ1"/>
  <c r="IA1"/>
  <c r="IB1"/>
  <c r="IC1"/>
  <c r="ID1"/>
  <c r="IE1"/>
  <c r="IF1"/>
  <c r="IG1"/>
  <c r="IH1"/>
  <c r="II1"/>
  <c r="IJ1"/>
  <c r="IK1"/>
  <c r="IL1"/>
  <c r="IM1"/>
  <c r="IN1"/>
  <c r="IO1"/>
  <c r="IP1"/>
  <c r="IQ1"/>
  <c r="IR1"/>
  <c r="IS1"/>
  <c r="IT1"/>
  <c r="IU1"/>
  <c r="IV1"/>
  <c r="IW1"/>
  <c r="IX1"/>
  <c r="IY1"/>
  <c r="IZ1"/>
  <c r="JA1"/>
  <c r="JB1"/>
  <c r="JC1"/>
  <c r="JD1"/>
  <c r="JE1"/>
  <c r="JF1"/>
  <c r="JG1"/>
  <c r="JH1"/>
  <c r="JI1"/>
  <c r="JJ1"/>
  <c r="JK1"/>
  <c r="JL1"/>
  <c r="JM1"/>
  <c r="JN1"/>
  <c r="JO1"/>
  <c r="JP1"/>
  <c r="JQ1"/>
  <c r="JR1"/>
  <c r="JS1"/>
  <c r="JT1"/>
  <c r="JU1"/>
  <c r="JV1"/>
  <c r="JW1"/>
  <c r="JX1"/>
  <c r="JY1"/>
  <c r="JZ1"/>
  <c r="KA1"/>
  <c r="KB1"/>
  <c r="KC1"/>
  <c r="KD1"/>
  <c r="KE1"/>
  <c r="KF1"/>
  <c r="KG1"/>
  <c r="KH1"/>
  <c r="KI1"/>
  <c r="KJ1"/>
  <c r="KK1"/>
  <c r="KL1"/>
  <c r="KM1"/>
  <c r="KN1"/>
  <c r="KO1"/>
  <c r="KP1"/>
  <c r="KQ1"/>
  <c r="KR1"/>
  <c r="KS1"/>
  <c r="KT1"/>
  <c r="KU1"/>
  <c r="KV1"/>
  <c r="KW1"/>
  <c r="KX1"/>
  <c r="KY1"/>
  <c r="KZ1"/>
  <c r="LA1"/>
  <c r="LB1"/>
  <c r="LC1"/>
  <c r="LD1"/>
  <c r="LE1"/>
  <c r="LF1"/>
  <c r="LG1"/>
  <c r="LH1"/>
  <c r="LI1"/>
  <c r="LJ1"/>
  <c r="LK1"/>
  <c r="LL1"/>
  <c r="LM1"/>
  <c r="LN1"/>
  <c r="LO1"/>
  <c r="LP1"/>
  <c r="LQ1"/>
  <c r="LR1"/>
  <c r="LS1"/>
  <c r="LT1"/>
  <c r="LU1"/>
  <c r="LV1"/>
  <c r="LW1"/>
  <c r="LX1"/>
  <c r="LY1"/>
  <c r="LZ1"/>
  <c r="MA1"/>
  <c r="MB1"/>
  <c r="MC1"/>
  <c r="MD1"/>
  <c r="ME1"/>
  <c r="MF1"/>
  <c r="MG1"/>
  <c r="MH1"/>
  <c r="MI1"/>
  <c r="MJ1"/>
  <c r="MK1"/>
  <c r="ML1"/>
  <c r="MM1"/>
  <c r="MN1"/>
  <c r="MO1"/>
  <c r="MP1"/>
  <c r="MQ1"/>
  <c r="MR1"/>
  <c r="MS1"/>
  <c r="MT1"/>
  <c r="MU1"/>
  <c r="MV1"/>
  <c r="MW1"/>
  <c r="MX1"/>
  <c r="MY1"/>
  <c r="MZ1"/>
  <c r="NA1"/>
  <c r="NB1"/>
  <c r="NC1"/>
  <c r="ND1"/>
  <c r="NE1"/>
  <c r="NF1"/>
  <c r="NG1"/>
  <c r="NH1"/>
  <c r="NI1"/>
  <c r="NI5"/>
  <c r="NH5"/>
  <c r="NG5"/>
  <c r="NF5"/>
  <c r="NE5"/>
  <c r="ND5"/>
  <c r="NC5"/>
  <c r="NB5"/>
  <c r="NA5"/>
  <c r="MZ5"/>
  <c r="MY5"/>
  <c r="MX5"/>
  <c r="MW5"/>
  <c r="MV5"/>
  <c r="MU5"/>
  <c r="MT5"/>
  <c r="MS5"/>
  <c r="MR5"/>
  <c r="MQ5"/>
  <c r="MP5"/>
  <c r="MO5"/>
  <c r="MN5"/>
  <c r="MM5"/>
  <c r="ML5"/>
  <c r="MK5"/>
  <c r="MJ5"/>
  <c r="MI5"/>
  <c r="MH5"/>
  <c r="MG5"/>
  <c r="MF5"/>
  <c r="ME5"/>
  <c r="MD5"/>
  <c r="MC5"/>
  <c r="MB5"/>
  <c r="MA5"/>
  <c r="LZ5"/>
  <c r="LY5"/>
  <c r="LX5"/>
  <c r="LW5"/>
  <c r="LV5"/>
  <c r="LU5"/>
  <c r="LT5"/>
  <c r="LS5"/>
  <c r="LR5"/>
  <c r="LQ5"/>
  <c r="LP5"/>
  <c r="LO5"/>
  <c r="LN5"/>
  <c r="LM5"/>
  <c r="LL5"/>
  <c r="LK5"/>
  <c r="LJ5"/>
  <c r="LI5"/>
  <c r="LH5"/>
  <c r="LG5"/>
  <c r="LF5"/>
  <c r="LE5"/>
  <c r="LD5"/>
  <c r="LC5"/>
  <c r="LB5"/>
  <c r="LA5"/>
  <c r="KZ5"/>
  <c r="KY5"/>
  <c r="KX5"/>
  <c r="KW5"/>
  <c r="KV5"/>
  <c r="KU5"/>
  <c r="KT5"/>
  <c r="KS5"/>
  <c r="KR5"/>
  <c r="KQ5"/>
  <c r="KP5"/>
  <c r="KO5"/>
  <c r="KN5"/>
  <c r="KM5"/>
  <c r="KL5"/>
  <c r="KK5"/>
  <c r="KJ5"/>
  <c r="KI5"/>
  <c r="KH5"/>
  <c r="KG5"/>
  <c r="KF5"/>
  <c r="KE5"/>
  <c r="KD5"/>
  <c r="KC5"/>
  <c r="KB5"/>
  <c r="KA5"/>
  <c r="JZ5"/>
  <c r="JY5"/>
  <c r="JX5"/>
  <c r="JW5"/>
  <c r="JV5"/>
  <c r="JU5"/>
  <c r="JT5"/>
  <c r="JS5"/>
  <c r="JR5"/>
  <c r="JQ5"/>
  <c r="JP5"/>
  <c r="JO5"/>
  <c r="JN5"/>
  <c r="JM5"/>
  <c r="JL5"/>
  <c r="JK5"/>
  <c r="JJ5"/>
  <c r="JI5"/>
  <c r="JH5"/>
  <c r="JG5"/>
  <c r="JF5"/>
  <c r="JE5"/>
  <c r="JD5"/>
  <c r="JC5"/>
  <c r="JB5"/>
  <c r="JA5"/>
  <c r="IZ5"/>
  <c r="IY5"/>
  <c r="IX5"/>
  <c r="IW5"/>
  <c r="IV5"/>
  <c r="IU5"/>
  <c r="IT5"/>
  <c r="IS5"/>
  <c r="IR5"/>
  <c r="IQ5"/>
  <c r="IP5"/>
  <c r="IO5"/>
  <c r="IN5"/>
  <c r="IM5"/>
  <c r="IL5"/>
  <c r="IK5"/>
  <c r="IJ5"/>
  <c r="II5"/>
  <c r="IH5"/>
  <c r="IG5"/>
  <c r="IF5"/>
  <c r="IE5"/>
  <c r="ID5"/>
  <c r="IC5"/>
  <c r="IB5"/>
  <c r="IA5"/>
  <c r="HZ5"/>
  <c r="HY5"/>
  <c r="HX5"/>
  <c r="HW5"/>
  <c r="HV5"/>
  <c r="HU5"/>
  <c r="HT5"/>
  <c r="HS5"/>
  <c r="HR5"/>
  <c r="HQ5"/>
  <c r="HP5"/>
  <c r="HO5"/>
  <c r="HN5"/>
  <c r="HM5"/>
  <c r="HL5"/>
  <c r="HK5"/>
  <c r="HJ5"/>
  <c r="HI5"/>
  <c r="HH5"/>
  <c r="HG5"/>
  <c r="HF5"/>
  <c r="HE5"/>
  <c r="HD5"/>
  <c r="HC5"/>
  <c r="HB5"/>
  <c r="HA5"/>
  <c r="GZ5"/>
  <c r="GY5"/>
  <c r="GX5"/>
  <c r="GW5"/>
  <c r="GV5"/>
  <c r="GU5"/>
  <c r="GT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H42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H49"/>
  <c r="H48"/>
  <c r="H47"/>
  <c r="H46"/>
  <c r="H45"/>
  <c r="H44"/>
  <c r="H38"/>
  <c r="H37"/>
  <c r="H36"/>
  <c r="H35"/>
  <c r="H34"/>
  <c r="H33"/>
  <c r="H27"/>
  <c r="H26"/>
  <c r="H25"/>
  <c r="H24"/>
  <c r="H23"/>
  <c r="H16"/>
  <c r="H15"/>
  <c r="H14"/>
  <c r="H13"/>
  <c r="G49"/>
  <c r="F49"/>
  <c r="G48"/>
  <c r="F48"/>
  <c r="G47"/>
  <c r="F47"/>
  <c r="G46"/>
  <c r="F46"/>
  <c r="G45"/>
  <c r="F45"/>
  <c r="G44"/>
  <c r="F44"/>
  <c r="F43"/>
  <c r="F42"/>
  <c r="F41"/>
  <c r="F40"/>
  <c r="F39"/>
  <c r="G38"/>
  <c r="F38"/>
  <c r="G37"/>
  <c r="F37"/>
  <c r="G36"/>
  <c r="F36"/>
  <c r="G35"/>
  <c r="F35"/>
  <c r="G34"/>
  <c r="F34"/>
  <c r="G33"/>
  <c r="F33"/>
  <c r="F32"/>
  <c r="F31"/>
  <c r="F30"/>
  <c r="F29"/>
  <c r="F28"/>
  <c r="G27"/>
  <c r="F27"/>
  <c r="G26"/>
  <c r="F26"/>
  <c r="G25"/>
  <c r="F25"/>
  <c r="G24"/>
  <c r="F24"/>
  <c r="G23"/>
  <c r="F23"/>
  <c r="F22"/>
  <c r="F21"/>
  <c r="F20"/>
  <c r="F19"/>
  <c r="F18"/>
  <c r="F17"/>
  <c r="G16"/>
  <c r="F16"/>
  <c r="G15"/>
  <c r="F15"/>
  <c r="G14"/>
  <c r="F14"/>
  <c r="G13"/>
  <c r="F13"/>
  <c r="F12"/>
  <c r="F11"/>
  <c r="F10"/>
  <c r="F9"/>
  <c r="F8"/>
  <c r="F7"/>
  <c r="J2"/>
  <c r="H7"/>
  <c r="H9"/>
  <c r="H11"/>
  <c r="H17"/>
  <c r="H19"/>
  <c r="H21"/>
  <c r="H29"/>
  <c r="H31"/>
  <c r="H39"/>
  <c r="H41"/>
  <c r="H43"/>
  <c r="H8"/>
  <c r="H10"/>
  <c r="H12"/>
  <c r="H18"/>
  <c r="H20"/>
  <c r="H22"/>
  <c r="H28"/>
  <c r="H30"/>
  <c r="H32"/>
  <c r="H40"/>
  <c r="H6"/>
  <c r="G7"/>
  <c r="G8"/>
  <c r="G9"/>
  <c r="G10"/>
  <c r="G11"/>
  <c r="G12"/>
  <c r="G17"/>
  <c r="G18"/>
  <c r="G19"/>
  <c r="G20"/>
  <c r="G21"/>
  <c r="G22"/>
  <c r="G28"/>
  <c r="G29"/>
  <c r="G30"/>
  <c r="G31"/>
  <c r="G32"/>
  <c r="G39"/>
  <c r="G40"/>
  <c r="G41"/>
  <c r="G42"/>
  <c r="G43"/>
  <c r="G6"/>
  <c r="F6"/>
  <c r="Q2"/>
  <c r="X2"/>
  <c r="AE2"/>
  <c r="AL2"/>
  <c r="AS2"/>
  <c r="AZ2"/>
  <c r="BG2"/>
  <c r="BN2"/>
  <c r="BU2"/>
  <c r="CB2"/>
  <c r="CI2"/>
  <c r="CP2"/>
  <c r="CW2"/>
  <c r="DD2"/>
  <c r="DK2"/>
  <c r="DR2"/>
  <c r="DY2"/>
  <c r="EF2"/>
  <c r="EM2"/>
  <c r="ET2"/>
  <c r="FA2"/>
  <c r="FH2"/>
  <c r="FO2"/>
  <c r="FV2"/>
  <c r="GC2"/>
  <c r="GJ2"/>
  <c r="GQ2"/>
  <c r="GX2"/>
  <c r="HE2"/>
  <c r="HL2"/>
  <c r="HS2"/>
  <c r="HZ2"/>
  <c r="IG2"/>
  <c r="IN2"/>
  <c r="IU2"/>
  <c r="JB2"/>
  <c r="JI2"/>
  <c r="JP2"/>
  <c r="JW2"/>
  <c r="KD2"/>
  <c r="KK2"/>
  <c r="KR2"/>
  <c r="KY2"/>
  <c r="LF2"/>
  <c r="LM2"/>
  <c r="LT2"/>
  <c r="MA2"/>
  <c r="MH2"/>
  <c r="MO2"/>
  <c r="MV2"/>
  <c r="NC2"/>
</calcChain>
</file>

<file path=xl/sharedStrings.xml><?xml version="1.0" encoding="utf-8"?>
<sst xmlns="http://schemas.openxmlformats.org/spreadsheetml/2006/main" count="37" uniqueCount="34">
  <si>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</si>
  <si>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</si>
  <si>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</si>
  <si>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</si>
  <si>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</si>
  <si>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</si>
  <si>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</si>
  <si>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</si>
  <si>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</si>
  <si>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</si>
  <si>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</si>
  <si>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</si>
  <si>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</si>
  <si>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</si>
  <si>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</si>
  <si>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</si>
  <si>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</si>
  <si>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Project Title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</si>
  <si>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</si>
  <si>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</si>
  <si>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</si>
  <si>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</si>
  <si>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</si>
  <si>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</si>
  <si>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</si>
  <si>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Main task 1</t>
  </si>
  <si>
    <t>Sub-task 1</t>
  </si>
  <si>
    <t>Sub-task 2</t>
  </si>
  <si>
    <t>Sub-task 3</t>
  </si>
  <si>
    <t>Sub-task 4</t>
  </si>
  <si>
    <t>Sub-task 5</t>
  </si>
  <si>
    <t>Sub-task 6</t>
  </si>
  <si>
    <t>Main task 2</t>
  </si>
  <si>
    <t>ProfessionalExcel.com</t>
  </si>
</sst>
</file>

<file path=xl/styles.xml><?xml version="1.0" encoding="utf-8"?>
<styleSheet xmlns="http://schemas.openxmlformats.org/spreadsheetml/2006/main">
  <numFmts count="3">
    <numFmt numFmtId="164" formatCode="0#"/>
    <numFmt numFmtId="165" formatCode="dd\-mmm\-yy;;"/>
    <numFmt numFmtId="167" formatCode="ddd\-dd\-mmm"/>
  </numFmts>
  <fonts count="20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1" fontId="6" fillId="0" borderId="2" xfId="1" applyNumberFormat="1" applyFont="1" applyFill="1" applyBorder="1" applyAlignment="1" applyProtection="1">
      <alignment horizontal="center"/>
    </xf>
    <xf numFmtId="0" fontId="6" fillId="0" borderId="6" xfId="0" applyFont="1" applyFill="1" applyBorder="1" applyProtection="1"/>
    <xf numFmtId="0" fontId="6" fillId="0" borderId="7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9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6" fillId="0" borderId="5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11" xfId="0" applyFont="1" applyFill="1" applyBorder="1" applyAlignment="1" applyProtection="1">
      <alignment vertical="center"/>
    </xf>
    <xf numFmtId="0" fontId="5" fillId="0" borderId="11" xfId="0" applyFont="1" applyBorder="1" applyAlignment="1" applyProtection="1">
      <alignment horizontal="left" vertical="center"/>
    </xf>
    <xf numFmtId="0" fontId="5" fillId="0" borderId="11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10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10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1" fontId="6" fillId="0" borderId="0" xfId="0" applyNumberFormat="1" applyFont="1" applyFill="1" applyBorder="1" applyAlignment="1" applyProtection="1">
      <alignment horizontal="center"/>
    </xf>
    <xf numFmtId="1" fontId="6" fillId="0" borderId="0" xfId="1" applyNumberFormat="1" applyFont="1" applyFill="1" applyBorder="1" applyAlignment="1" applyProtection="1">
      <alignment horizontal="center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3" xfId="0" applyFont="1" applyBorder="1" applyAlignment="1" applyProtection="1">
      <alignment horizontal="right" vertical="center"/>
    </xf>
    <xf numFmtId="0" fontId="4" fillId="0" borderId="13" xfId="0" applyFont="1" applyBorder="1" applyAlignment="1" applyProtection="1">
      <alignment horizontal="left" vertical="center"/>
      <protection locked="0"/>
    </xf>
    <xf numFmtId="0" fontId="8" fillId="0" borderId="14" xfId="0" applyFont="1" applyBorder="1" applyAlignment="1" applyProtection="1">
      <alignment horizontal="right" vertical="center"/>
    </xf>
    <xf numFmtId="15" fontId="4" fillId="0" borderId="14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10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12" xfId="0" applyFont="1" applyBorder="1" applyAlignment="1" applyProtection="1">
      <alignment vertical="center"/>
    </xf>
    <xf numFmtId="0" fontId="1" fillId="0" borderId="12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2" xfId="0" applyNumberFormat="1" applyFont="1" applyFill="1" applyBorder="1" applyAlignment="1" applyProtection="1">
      <alignment horizontal="center" vertical="center"/>
      <protection locked="0"/>
    </xf>
    <xf numFmtId="1" fontId="4" fillId="0" borderId="12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4" fillId="6" borderId="0" xfId="0" applyFont="1" applyFill="1" applyBorder="1" applyAlignment="1" applyProtection="1">
      <alignment horizontal="left" vertical="center"/>
      <protection locked="0"/>
    </xf>
    <xf numFmtId="164" fontId="16" fillId="0" borderId="0" xfId="0" applyNumberFormat="1" applyFont="1" applyFill="1" applyBorder="1" applyAlignment="1" applyProtection="1">
      <alignment horizontal="center"/>
    </xf>
    <xf numFmtId="164" fontId="16" fillId="0" borderId="8" xfId="0" applyNumberFormat="1" applyFont="1" applyFill="1" applyBorder="1" applyAlignment="1" applyProtection="1">
      <alignment horizontal="center"/>
    </xf>
    <xf numFmtId="167" fontId="6" fillId="0" borderId="15" xfId="0" applyNumberFormat="1" applyFont="1" applyBorder="1" applyAlignment="1" applyProtection="1">
      <alignment textRotation="90"/>
    </xf>
    <xf numFmtId="167" fontId="15" fillId="0" borderId="1" xfId="0" applyNumberFormat="1" applyFont="1" applyBorder="1" applyAlignment="1" applyProtection="1">
      <alignment textRotation="90"/>
    </xf>
    <xf numFmtId="167" fontId="15" fillId="0" borderId="16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</cellXfs>
  <cellStyles count="2">
    <cellStyle name="Normal" xfId="0" builtinId="0"/>
    <cellStyle name="Percent" xfId="1" builtinId="5"/>
  </cellStyles>
  <dxfs count="10"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rofessionalexcel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1</xdr:row>
      <xdr:rowOff>28575</xdr:rowOff>
    </xdr:from>
    <xdr:to>
      <xdr:col>8</xdr:col>
      <xdr:colOff>514758</xdr:colOff>
      <xdr:row>2</xdr:row>
      <xdr:rowOff>133350</xdr:rowOff>
    </xdr:to>
    <xdr:pic>
      <xdr:nvPicPr>
        <xdr:cNvPr id="2" name="Picture 1" descr="logo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15075" y="285750"/>
          <a:ext cx="771933" cy="295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Gantt">
    <outlinePr summaryBelow="0" summaryRight="0"/>
    <pageSetUpPr fitToPage="1"/>
  </sheetPr>
  <dimension ref="A1:NJ53"/>
  <sheetViews>
    <sheetView showGridLines="0" showRowColHeaders="0" tabSelected="1" zoomScaleNormal="100" workbookViewId="0">
      <pane ySplit="5" topLeftCell="A6" activePane="bottomLeft" state="frozen"/>
      <selection pane="bottomLeft" activeCell="C3" sqref="C3"/>
    </sheetView>
  </sheetViews>
  <sheetFormatPr defaultColWidth="9.125" defaultRowHeight="14.25"/>
  <cols>
    <col min="1" max="1" width="7.625" style="1" bestFit="1" customWidth="1"/>
    <col min="2" max="2" width="32.25" style="2" customWidth="1"/>
    <col min="3" max="5" width="10.75" style="1" customWidth="1"/>
    <col min="6" max="9" width="8.625" style="1" customWidth="1"/>
    <col min="10" max="373" width="2.375" style="1" customWidth="1"/>
    <col min="374" max="374" width="5.625" style="1" customWidth="1"/>
    <col min="375" max="16384" width="9.125" style="1"/>
  </cols>
  <sheetData>
    <row r="1" spans="1:374" s="13" customFormat="1" ht="23.25" customHeight="1" thickTop="1">
      <c r="A1" s="55" t="s">
        <v>17</v>
      </c>
      <c r="B1" s="55"/>
      <c r="C1" s="55"/>
      <c r="D1" s="55"/>
      <c r="E1" s="55"/>
      <c r="F1" s="55"/>
      <c r="G1" s="55"/>
      <c r="H1" s="38"/>
      <c r="I1" s="39" t="s">
        <v>20</v>
      </c>
      <c r="J1" s="61">
        <f>(Start-WEEKDAY(Start,1)+WeekStartType)+7*DateOffset</f>
        <v>40056</v>
      </c>
      <c r="K1" s="62">
        <f t="shared" ref="K1:BV1" si="0">J1+1</f>
        <v>40057</v>
      </c>
      <c r="L1" s="62">
        <f t="shared" si="0"/>
        <v>40058</v>
      </c>
      <c r="M1" s="62">
        <f t="shared" si="0"/>
        <v>40059</v>
      </c>
      <c r="N1" s="62">
        <f t="shared" si="0"/>
        <v>40060</v>
      </c>
      <c r="O1" s="62">
        <f t="shared" si="0"/>
        <v>40061</v>
      </c>
      <c r="P1" s="62">
        <f t="shared" si="0"/>
        <v>40062</v>
      </c>
      <c r="Q1" s="62">
        <f t="shared" si="0"/>
        <v>40063</v>
      </c>
      <c r="R1" s="62">
        <f t="shared" si="0"/>
        <v>40064</v>
      </c>
      <c r="S1" s="62">
        <f t="shared" si="0"/>
        <v>40065</v>
      </c>
      <c r="T1" s="62">
        <f t="shared" si="0"/>
        <v>40066</v>
      </c>
      <c r="U1" s="62">
        <f t="shared" si="0"/>
        <v>40067</v>
      </c>
      <c r="V1" s="62">
        <f t="shared" si="0"/>
        <v>40068</v>
      </c>
      <c r="W1" s="62">
        <f t="shared" si="0"/>
        <v>40069</v>
      </c>
      <c r="X1" s="62">
        <f t="shared" si="0"/>
        <v>40070</v>
      </c>
      <c r="Y1" s="62">
        <f t="shared" si="0"/>
        <v>40071</v>
      </c>
      <c r="Z1" s="62">
        <f t="shared" si="0"/>
        <v>40072</v>
      </c>
      <c r="AA1" s="62">
        <f t="shared" si="0"/>
        <v>40073</v>
      </c>
      <c r="AB1" s="62">
        <f t="shared" si="0"/>
        <v>40074</v>
      </c>
      <c r="AC1" s="62">
        <f t="shared" si="0"/>
        <v>40075</v>
      </c>
      <c r="AD1" s="62">
        <f t="shared" si="0"/>
        <v>40076</v>
      </c>
      <c r="AE1" s="62">
        <f t="shared" si="0"/>
        <v>40077</v>
      </c>
      <c r="AF1" s="62">
        <f t="shared" si="0"/>
        <v>40078</v>
      </c>
      <c r="AG1" s="62">
        <f t="shared" si="0"/>
        <v>40079</v>
      </c>
      <c r="AH1" s="62">
        <f t="shared" si="0"/>
        <v>40080</v>
      </c>
      <c r="AI1" s="62">
        <f t="shared" si="0"/>
        <v>40081</v>
      </c>
      <c r="AJ1" s="62">
        <f t="shared" si="0"/>
        <v>40082</v>
      </c>
      <c r="AK1" s="62">
        <f t="shared" si="0"/>
        <v>40083</v>
      </c>
      <c r="AL1" s="62">
        <f t="shared" si="0"/>
        <v>40084</v>
      </c>
      <c r="AM1" s="62">
        <f t="shared" si="0"/>
        <v>40085</v>
      </c>
      <c r="AN1" s="62">
        <f t="shared" si="0"/>
        <v>40086</v>
      </c>
      <c r="AO1" s="62">
        <f t="shared" si="0"/>
        <v>40087</v>
      </c>
      <c r="AP1" s="62">
        <f t="shared" si="0"/>
        <v>40088</v>
      </c>
      <c r="AQ1" s="62">
        <f t="shared" si="0"/>
        <v>40089</v>
      </c>
      <c r="AR1" s="62">
        <f t="shared" si="0"/>
        <v>40090</v>
      </c>
      <c r="AS1" s="62">
        <f t="shared" si="0"/>
        <v>40091</v>
      </c>
      <c r="AT1" s="62">
        <f t="shared" si="0"/>
        <v>40092</v>
      </c>
      <c r="AU1" s="62">
        <f t="shared" si="0"/>
        <v>40093</v>
      </c>
      <c r="AV1" s="62">
        <f t="shared" si="0"/>
        <v>40094</v>
      </c>
      <c r="AW1" s="62">
        <f t="shared" si="0"/>
        <v>40095</v>
      </c>
      <c r="AX1" s="62">
        <f t="shared" si="0"/>
        <v>40096</v>
      </c>
      <c r="AY1" s="62">
        <f t="shared" si="0"/>
        <v>40097</v>
      </c>
      <c r="AZ1" s="62">
        <f t="shared" si="0"/>
        <v>40098</v>
      </c>
      <c r="BA1" s="62">
        <f t="shared" si="0"/>
        <v>40099</v>
      </c>
      <c r="BB1" s="62">
        <f t="shared" si="0"/>
        <v>40100</v>
      </c>
      <c r="BC1" s="62">
        <f t="shared" si="0"/>
        <v>40101</v>
      </c>
      <c r="BD1" s="62">
        <f t="shared" si="0"/>
        <v>40102</v>
      </c>
      <c r="BE1" s="62">
        <f t="shared" si="0"/>
        <v>40103</v>
      </c>
      <c r="BF1" s="62">
        <f t="shared" si="0"/>
        <v>40104</v>
      </c>
      <c r="BG1" s="62">
        <f t="shared" si="0"/>
        <v>40105</v>
      </c>
      <c r="BH1" s="62">
        <f t="shared" si="0"/>
        <v>40106</v>
      </c>
      <c r="BI1" s="62">
        <f t="shared" si="0"/>
        <v>40107</v>
      </c>
      <c r="BJ1" s="62">
        <f t="shared" si="0"/>
        <v>40108</v>
      </c>
      <c r="BK1" s="62">
        <f t="shared" si="0"/>
        <v>40109</v>
      </c>
      <c r="BL1" s="62">
        <f t="shared" si="0"/>
        <v>40110</v>
      </c>
      <c r="BM1" s="62">
        <f t="shared" si="0"/>
        <v>40111</v>
      </c>
      <c r="BN1" s="62">
        <f t="shared" si="0"/>
        <v>40112</v>
      </c>
      <c r="BO1" s="62">
        <f t="shared" si="0"/>
        <v>40113</v>
      </c>
      <c r="BP1" s="62">
        <f t="shared" si="0"/>
        <v>40114</v>
      </c>
      <c r="BQ1" s="62">
        <f t="shared" si="0"/>
        <v>40115</v>
      </c>
      <c r="BR1" s="62">
        <f t="shared" si="0"/>
        <v>40116</v>
      </c>
      <c r="BS1" s="62">
        <f t="shared" si="0"/>
        <v>40117</v>
      </c>
      <c r="BT1" s="62">
        <f t="shared" si="0"/>
        <v>40118</v>
      </c>
      <c r="BU1" s="62">
        <f t="shared" si="0"/>
        <v>40119</v>
      </c>
      <c r="BV1" s="62">
        <f t="shared" si="0"/>
        <v>40120</v>
      </c>
      <c r="BW1" s="62">
        <f t="shared" ref="BW1:CY1" si="1">BV1+1</f>
        <v>40121</v>
      </c>
      <c r="BX1" s="62">
        <f t="shared" si="1"/>
        <v>40122</v>
      </c>
      <c r="BY1" s="62">
        <f t="shared" si="1"/>
        <v>40123</v>
      </c>
      <c r="BZ1" s="62">
        <f t="shared" si="1"/>
        <v>40124</v>
      </c>
      <c r="CA1" s="62">
        <f t="shared" si="1"/>
        <v>40125</v>
      </c>
      <c r="CB1" s="62">
        <f t="shared" si="1"/>
        <v>40126</v>
      </c>
      <c r="CC1" s="62">
        <f t="shared" si="1"/>
        <v>40127</v>
      </c>
      <c r="CD1" s="62">
        <f t="shared" si="1"/>
        <v>40128</v>
      </c>
      <c r="CE1" s="62">
        <f t="shared" si="1"/>
        <v>40129</v>
      </c>
      <c r="CF1" s="62">
        <f t="shared" si="1"/>
        <v>40130</v>
      </c>
      <c r="CG1" s="62">
        <f t="shared" si="1"/>
        <v>40131</v>
      </c>
      <c r="CH1" s="62">
        <f t="shared" si="1"/>
        <v>40132</v>
      </c>
      <c r="CI1" s="62">
        <f t="shared" si="1"/>
        <v>40133</v>
      </c>
      <c r="CJ1" s="62">
        <f t="shared" si="1"/>
        <v>40134</v>
      </c>
      <c r="CK1" s="62">
        <f t="shared" si="1"/>
        <v>40135</v>
      </c>
      <c r="CL1" s="62">
        <f t="shared" si="1"/>
        <v>40136</v>
      </c>
      <c r="CM1" s="62">
        <f t="shared" si="1"/>
        <v>40137</v>
      </c>
      <c r="CN1" s="62">
        <f t="shared" si="1"/>
        <v>40138</v>
      </c>
      <c r="CO1" s="62">
        <f t="shared" si="1"/>
        <v>40139</v>
      </c>
      <c r="CP1" s="62">
        <f t="shared" si="1"/>
        <v>40140</v>
      </c>
      <c r="CQ1" s="62">
        <f t="shared" si="1"/>
        <v>40141</v>
      </c>
      <c r="CR1" s="62">
        <f t="shared" si="1"/>
        <v>40142</v>
      </c>
      <c r="CS1" s="62">
        <f t="shared" si="1"/>
        <v>40143</v>
      </c>
      <c r="CT1" s="62">
        <f t="shared" si="1"/>
        <v>40144</v>
      </c>
      <c r="CU1" s="62">
        <f t="shared" si="1"/>
        <v>40145</v>
      </c>
      <c r="CV1" s="62">
        <f t="shared" si="1"/>
        <v>40146</v>
      </c>
      <c r="CW1" s="62">
        <f t="shared" si="1"/>
        <v>40147</v>
      </c>
      <c r="CX1" s="62">
        <f t="shared" si="1"/>
        <v>40148</v>
      </c>
      <c r="CY1" s="62">
        <f t="shared" si="1"/>
        <v>40149</v>
      </c>
      <c r="CZ1" s="62">
        <f t="shared" ref="CZ1" si="2">CY1+1</f>
        <v>40150</v>
      </c>
      <c r="DA1" s="62">
        <f t="shared" ref="DA1" si="3">CZ1+1</f>
        <v>40151</v>
      </c>
      <c r="DB1" s="62">
        <f t="shared" ref="DB1" si="4">DA1+1</f>
        <v>40152</v>
      </c>
      <c r="DC1" s="62">
        <f t="shared" ref="DC1" si="5">DB1+1</f>
        <v>40153</v>
      </c>
      <c r="DD1" s="62">
        <f t="shared" ref="DD1" si="6">DC1+1</f>
        <v>40154</v>
      </c>
      <c r="DE1" s="62">
        <f t="shared" ref="DE1" si="7">DD1+1</f>
        <v>40155</v>
      </c>
      <c r="DF1" s="62">
        <f t="shared" ref="DF1" si="8">DE1+1</f>
        <v>40156</v>
      </c>
      <c r="DG1" s="62">
        <f t="shared" ref="DG1" si="9">DF1+1</f>
        <v>40157</v>
      </c>
      <c r="DH1" s="62">
        <f t="shared" ref="DH1" si="10">DG1+1</f>
        <v>40158</v>
      </c>
      <c r="DI1" s="62">
        <f t="shared" ref="DI1" si="11">DH1+1</f>
        <v>40159</v>
      </c>
      <c r="DJ1" s="62">
        <f t="shared" ref="DJ1" si="12">DI1+1</f>
        <v>40160</v>
      </c>
      <c r="DK1" s="62">
        <f t="shared" ref="DK1" si="13">DJ1+1</f>
        <v>40161</v>
      </c>
      <c r="DL1" s="62">
        <f t="shared" ref="DL1" si="14">DK1+1</f>
        <v>40162</v>
      </c>
      <c r="DM1" s="62">
        <f t="shared" ref="DM1" si="15">DL1+1</f>
        <v>40163</v>
      </c>
      <c r="DN1" s="62">
        <f t="shared" ref="DN1" si="16">DM1+1</f>
        <v>40164</v>
      </c>
      <c r="DO1" s="62">
        <f t="shared" ref="DO1" si="17">DN1+1</f>
        <v>40165</v>
      </c>
      <c r="DP1" s="62">
        <f t="shared" ref="DP1" si="18">DO1+1</f>
        <v>40166</v>
      </c>
      <c r="DQ1" s="62">
        <f t="shared" ref="DQ1" si="19">DP1+1</f>
        <v>40167</v>
      </c>
      <c r="DR1" s="62">
        <f t="shared" ref="DR1" si="20">DQ1+1</f>
        <v>40168</v>
      </c>
      <c r="DS1" s="62">
        <f t="shared" ref="DS1" si="21">DR1+1</f>
        <v>40169</v>
      </c>
      <c r="DT1" s="62">
        <f t="shared" ref="DT1" si="22">DS1+1</f>
        <v>40170</v>
      </c>
      <c r="DU1" s="62">
        <f t="shared" ref="DU1" si="23">DT1+1</f>
        <v>40171</v>
      </c>
      <c r="DV1" s="62">
        <f t="shared" ref="DV1" si="24">DU1+1</f>
        <v>40172</v>
      </c>
      <c r="DW1" s="62">
        <f t="shared" ref="DW1" si="25">DV1+1</f>
        <v>40173</v>
      </c>
      <c r="DX1" s="62">
        <f t="shared" ref="DX1" si="26">DW1+1</f>
        <v>40174</v>
      </c>
      <c r="DY1" s="62">
        <f t="shared" ref="DY1" si="27">DX1+1</f>
        <v>40175</v>
      </c>
      <c r="DZ1" s="62">
        <f t="shared" ref="DZ1" si="28">DY1+1</f>
        <v>40176</v>
      </c>
      <c r="EA1" s="62">
        <f t="shared" ref="EA1" si="29">DZ1+1</f>
        <v>40177</v>
      </c>
      <c r="EB1" s="62">
        <f t="shared" ref="EB1" si="30">EA1+1</f>
        <v>40178</v>
      </c>
      <c r="EC1" s="62">
        <f t="shared" ref="EC1" si="31">EB1+1</f>
        <v>40179</v>
      </c>
      <c r="ED1" s="62">
        <f t="shared" ref="ED1" si="32">EC1+1</f>
        <v>40180</v>
      </c>
      <c r="EE1" s="62">
        <f t="shared" ref="EE1" si="33">ED1+1</f>
        <v>40181</v>
      </c>
      <c r="EF1" s="62">
        <f t="shared" ref="EF1" si="34">EE1+1</f>
        <v>40182</v>
      </c>
      <c r="EG1" s="62">
        <f t="shared" ref="EG1" si="35">EF1+1</f>
        <v>40183</v>
      </c>
      <c r="EH1" s="62">
        <f t="shared" ref="EH1" si="36">EG1+1</f>
        <v>40184</v>
      </c>
      <c r="EI1" s="62">
        <f t="shared" ref="EI1" si="37">EH1+1</f>
        <v>40185</v>
      </c>
      <c r="EJ1" s="62">
        <f t="shared" ref="EJ1" si="38">EI1+1</f>
        <v>40186</v>
      </c>
      <c r="EK1" s="62">
        <f t="shared" ref="EK1" si="39">EJ1+1</f>
        <v>40187</v>
      </c>
      <c r="EL1" s="62">
        <f t="shared" ref="EL1" si="40">EK1+1</f>
        <v>40188</v>
      </c>
      <c r="EM1" s="62">
        <f t="shared" ref="EM1" si="41">EL1+1</f>
        <v>40189</v>
      </c>
      <c r="EN1" s="62">
        <f t="shared" ref="EN1" si="42">EM1+1</f>
        <v>40190</v>
      </c>
      <c r="EO1" s="62">
        <f t="shared" ref="EO1" si="43">EN1+1</f>
        <v>40191</v>
      </c>
      <c r="EP1" s="62">
        <f t="shared" ref="EP1" si="44">EO1+1</f>
        <v>40192</v>
      </c>
      <c r="EQ1" s="62">
        <f t="shared" ref="EQ1" si="45">EP1+1</f>
        <v>40193</v>
      </c>
      <c r="ER1" s="62">
        <f t="shared" ref="ER1" si="46">EQ1+1</f>
        <v>40194</v>
      </c>
      <c r="ES1" s="62">
        <f t="shared" ref="ES1" si="47">ER1+1</f>
        <v>40195</v>
      </c>
      <c r="ET1" s="62">
        <f t="shared" ref="ET1" si="48">ES1+1</f>
        <v>40196</v>
      </c>
      <c r="EU1" s="62">
        <f t="shared" ref="EU1" si="49">ET1+1</f>
        <v>40197</v>
      </c>
      <c r="EV1" s="62">
        <f t="shared" ref="EV1" si="50">EU1+1</f>
        <v>40198</v>
      </c>
      <c r="EW1" s="62">
        <f t="shared" ref="EW1" si="51">EV1+1</f>
        <v>40199</v>
      </c>
      <c r="EX1" s="62">
        <f t="shared" ref="EX1" si="52">EW1+1</f>
        <v>40200</v>
      </c>
      <c r="EY1" s="62">
        <f t="shared" ref="EY1" si="53">EX1+1</f>
        <v>40201</v>
      </c>
      <c r="EZ1" s="62">
        <f t="shared" ref="EZ1" si="54">EY1+1</f>
        <v>40202</v>
      </c>
      <c r="FA1" s="62">
        <f t="shared" ref="FA1" si="55">EZ1+1</f>
        <v>40203</v>
      </c>
      <c r="FB1" s="62">
        <f t="shared" ref="FB1" si="56">FA1+1</f>
        <v>40204</v>
      </c>
      <c r="FC1" s="62">
        <f t="shared" ref="FC1" si="57">FB1+1</f>
        <v>40205</v>
      </c>
      <c r="FD1" s="62">
        <f t="shared" ref="FD1" si="58">FC1+1</f>
        <v>40206</v>
      </c>
      <c r="FE1" s="62">
        <f t="shared" ref="FE1" si="59">FD1+1</f>
        <v>40207</v>
      </c>
      <c r="FF1" s="62">
        <f t="shared" ref="FF1" si="60">FE1+1</f>
        <v>40208</v>
      </c>
      <c r="FG1" s="62">
        <f t="shared" ref="FG1" si="61">FF1+1</f>
        <v>40209</v>
      </c>
      <c r="FH1" s="62">
        <f t="shared" ref="FH1" si="62">FG1+1</f>
        <v>40210</v>
      </c>
      <c r="FI1" s="62">
        <f t="shared" ref="FI1" si="63">FH1+1</f>
        <v>40211</v>
      </c>
      <c r="FJ1" s="62">
        <f t="shared" ref="FJ1" si="64">FI1+1</f>
        <v>40212</v>
      </c>
      <c r="FK1" s="62">
        <f t="shared" ref="FK1" si="65">FJ1+1</f>
        <v>40213</v>
      </c>
      <c r="FL1" s="62">
        <f t="shared" ref="FL1" si="66">FK1+1</f>
        <v>40214</v>
      </c>
      <c r="FM1" s="62">
        <f t="shared" ref="FM1" si="67">FL1+1</f>
        <v>40215</v>
      </c>
      <c r="FN1" s="62">
        <f t="shared" ref="FN1" si="68">FM1+1</f>
        <v>40216</v>
      </c>
      <c r="FO1" s="62">
        <f t="shared" ref="FO1" si="69">FN1+1</f>
        <v>40217</v>
      </c>
      <c r="FP1" s="62">
        <f t="shared" ref="FP1" si="70">FO1+1</f>
        <v>40218</v>
      </c>
      <c r="FQ1" s="62">
        <f t="shared" ref="FQ1" si="71">FP1+1</f>
        <v>40219</v>
      </c>
      <c r="FR1" s="62">
        <f t="shared" ref="FR1" si="72">FQ1+1</f>
        <v>40220</v>
      </c>
      <c r="FS1" s="62">
        <f t="shared" ref="FS1" si="73">FR1+1</f>
        <v>40221</v>
      </c>
      <c r="FT1" s="62">
        <f t="shared" ref="FT1" si="74">FS1+1</f>
        <v>40222</v>
      </c>
      <c r="FU1" s="62">
        <f t="shared" ref="FU1" si="75">FT1+1</f>
        <v>40223</v>
      </c>
      <c r="FV1" s="62">
        <f t="shared" ref="FV1" si="76">FU1+1</f>
        <v>40224</v>
      </c>
      <c r="FW1" s="62">
        <f t="shared" ref="FW1" si="77">FV1+1</f>
        <v>40225</v>
      </c>
      <c r="FX1" s="62">
        <f t="shared" ref="FX1" si="78">FW1+1</f>
        <v>40226</v>
      </c>
      <c r="FY1" s="62">
        <f t="shared" ref="FY1" si="79">FX1+1</f>
        <v>40227</v>
      </c>
      <c r="FZ1" s="62">
        <f t="shared" ref="FZ1" si="80">FY1+1</f>
        <v>40228</v>
      </c>
      <c r="GA1" s="62">
        <f t="shared" ref="GA1" si="81">FZ1+1</f>
        <v>40229</v>
      </c>
      <c r="GB1" s="62">
        <f t="shared" ref="GB1" si="82">GA1+1</f>
        <v>40230</v>
      </c>
      <c r="GC1" s="62">
        <f t="shared" ref="GC1" si="83">GB1+1</f>
        <v>40231</v>
      </c>
      <c r="GD1" s="62">
        <f t="shared" ref="GD1" si="84">GC1+1</f>
        <v>40232</v>
      </c>
      <c r="GE1" s="62">
        <f t="shared" ref="GE1" si="85">GD1+1</f>
        <v>40233</v>
      </c>
      <c r="GF1" s="62">
        <f t="shared" ref="GF1" si="86">GE1+1</f>
        <v>40234</v>
      </c>
      <c r="GG1" s="62">
        <f t="shared" ref="GG1" si="87">GF1+1</f>
        <v>40235</v>
      </c>
      <c r="GH1" s="62">
        <f t="shared" ref="GH1" si="88">GG1+1</f>
        <v>40236</v>
      </c>
      <c r="GI1" s="62">
        <f t="shared" ref="GI1" si="89">GH1+1</f>
        <v>40237</v>
      </c>
      <c r="GJ1" s="62">
        <f t="shared" ref="GJ1" si="90">GI1+1</f>
        <v>40238</v>
      </c>
      <c r="GK1" s="62">
        <f t="shared" ref="GK1" si="91">GJ1+1</f>
        <v>40239</v>
      </c>
      <c r="GL1" s="62">
        <f t="shared" ref="GL1" si="92">GK1+1</f>
        <v>40240</v>
      </c>
      <c r="GM1" s="62">
        <f t="shared" ref="GM1" si="93">GL1+1</f>
        <v>40241</v>
      </c>
      <c r="GN1" s="62">
        <f t="shared" ref="GN1" si="94">GM1+1</f>
        <v>40242</v>
      </c>
      <c r="GO1" s="62">
        <f t="shared" ref="GO1" si="95">GN1+1</f>
        <v>40243</v>
      </c>
      <c r="GP1" s="62">
        <f t="shared" ref="GP1" si="96">GO1+1</f>
        <v>40244</v>
      </c>
      <c r="GQ1" s="62">
        <f t="shared" ref="GQ1" si="97">GP1+1</f>
        <v>40245</v>
      </c>
      <c r="GR1" s="62">
        <f t="shared" ref="GR1" si="98">GQ1+1</f>
        <v>40246</v>
      </c>
      <c r="GS1" s="62">
        <f t="shared" ref="GS1" si="99">GR1+1</f>
        <v>40247</v>
      </c>
      <c r="GT1" s="62">
        <f t="shared" ref="GT1" si="100">GS1+1</f>
        <v>40248</v>
      </c>
      <c r="GU1" s="62">
        <f t="shared" ref="GU1" si="101">GT1+1</f>
        <v>40249</v>
      </c>
      <c r="GV1" s="62">
        <f t="shared" ref="GV1" si="102">GU1+1</f>
        <v>40250</v>
      </c>
      <c r="GW1" s="62">
        <f t="shared" ref="GW1" si="103">GV1+1</f>
        <v>40251</v>
      </c>
      <c r="GX1" s="62">
        <f t="shared" ref="GX1" si="104">GW1+1</f>
        <v>40252</v>
      </c>
      <c r="GY1" s="62">
        <f t="shared" ref="GY1" si="105">GX1+1</f>
        <v>40253</v>
      </c>
      <c r="GZ1" s="62">
        <f t="shared" ref="GZ1" si="106">GY1+1</f>
        <v>40254</v>
      </c>
      <c r="HA1" s="62">
        <f t="shared" ref="HA1" si="107">GZ1+1</f>
        <v>40255</v>
      </c>
      <c r="HB1" s="62">
        <f t="shared" ref="HB1" si="108">HA1+1</f>
        <v>40256</v>
      </c>
      <c r="HC1" s="62">
        <f t="shared" ref="HC1" si="109">HB1+1</f>
        <v>40257</v>
      </c>
      <c r="HD1" s="62">
        <f t="shared" ref="HD1" si="110">HC1+1</f>
        <v>40258</v>
      </c>
      <c r="HE1" s="62">
        <f t="shared" ref="HE1" si="111">HD1+1</f>
        <v>40259</v>
      </c>
      <c r="HF1" s="62">
        <f t="shared" ref="HF1" si="112">HE1+1</f>
        <v>40260</v>
      </c>
      <c r="HG1" s="62">
        <f t="shared" ref="HG1" si="113">HF1+1</f>
        <v>40261</v>
      </c>
      <c r="HH1" s="62">
        <f t="shared" ref="HH1" si="114">HG1+1</f>
        <v>40262</v>
      </c>
      <c r="HI1" s="62">
        <f t="shared" ref="HI1" si="115">HH1+1</f>
        <v>40263</v>
      </c>
      <c r="HJ1" s="62">
        <f t="shared" ref="HJ1" si="116">HI1+1</f>
        <v>40264</v>
      </c>
      <c r="HK1" s="62">
        <f t="shared" ref="HK1" si="117">HJ1+1</f>
        <v>40265</v>
      </c>
      <c r="HL1" s="62">
        <f t="shared" ref="HL1" si="118">HK1+1</f>
        <v>40266</v>
      </c>
      <c r="HM1" s="62">
        <f t="shared" ref="HM1" si="119">HL1+1</f>
        <v>40267</v>
      </c>
      <c r="HN1" s="62">
        <f t="shared" ref="HN1" si="120">HM1+1</f>
        <v>40268</v>
      </c>
      <c r="HO1" s="62">
        <f t="shared" ref="HO1" si="121">HN1+1</f>
        <v>40269</v>
      </c>
      <c r="HP1" s="62">
        <f t="shared" ref="HP1" si="122">HO1+1</f>
        <v>40270</v>
      </c>
      <c r="HQ1" s="62">
        <f t="shared" ref="HQ1" si="123">HP1+1</f>
        <v>40271</v>
      </c>
      <c r="HR1" s="62">
        <f t="shared" ref="HR1" si="124">HQ1+1</f>
        <v>40272</v>
      </c>
      <c r="HS1" s="62">
        <f t="shared" ref="HS1" si="125">HR1+1</f>
        <v>40273</v>
      </c>
      <c r="HT1" s="62">
        <f t="shared" ref="HT1" si="126">HS1+1</f>
        <v>40274</v>
      </c>
      <c r="HU1" s="62">
        <f t="shared" ref="HU1" si="127">HT1+1</f>
        <v>40275</v>
      </c>
      <c r="HV1" s="62">
        <f t="shared" ref="HV1" si="128">HU1+1</f>
        <v>40276</v>
      </c>
      <c r="HW1" s="62">
        <f t="shared" ref="HW1" si="129">HV1+1</f>
        <v>40277</v>
      </c>
      <c r="HX1" s="62">
        <f t="shared" ref="HX1" si="130">HW1+1</f>
        <v>40278</v>
      </c>
      <c r="HY1" s="62">
        <f t="shared" ref="HY1" si="131">HX1+1</f>
        <v>40279</v>
      </c>
      <c r="HZ1" s="62">
        <f t="shared" ref="HZ1" si="132">HY1+1</f>
        <v>40280</v>
      </c>
      <c r="IA1" s="62">
        <f t="shared" ref="IA1" si="133">HZ1+1</f>
        <v>40281</v>
      </c>
      <c r="IB1" s="62">
        <f t="shared" ref="IB1" si="134">IA1+1</f>
        <v>40282</v>
      </c>
      <c r="IC1" s="62">
        <f t="shared" ref="IC1" si="135">IB1+1</f>
        <v>40283</v>
      </c>
      <c r="ID1" s="62">
        <f t="shared" ref="ID1" si="136">IC1+1</f>
        <v>40284</v>
      </c>
      <c r="IE1" s="62">
        <f t="shared" ref="IE1" si="137">ID1+1</f>
        <v>40285</v>
      </c>
      <c r="IF1" s="62">
        <f t="shared" ref="IF1" si="138">IE1+1</f>
        <v>40286</v>
      </c>
      <c r="IG1" s="62">
        <f t="shared" ref="IG1" si="139">IF1+1</f>
        <v>40287</v>
      </c>
      <c r="IH1" s="62">
        <f t="shared" ref="IH1" si="140">IG1+1</f>
        <v>40288</v>
      </c>
      <c r="II1" s="62">
        <f t="shared" ref="II1" si="141">IH1+1</f>
        <v>40289</v>
      </c>
      <c r="IJ1" s="62">
        <f t="shared" ref="IJ1" si="142">II1+1</f>
        <v>40290</v>
      </c>
      <c r="IK1" s="62">
        <f t="shared" ref="IK1" si="143">IJ1+1</f>
        <v>40291</v>
      </c>
      <c r="IL1" s="62">
        <f t="shared" ref="IL1" si="144">IK1+1</f>
        <v>40292</v>
      </c>
      <c r="IM1" s="62">
        <f t="shared" ref="IM1" si="145">IL1+1</f>
        <v>40293</v>
      </c>
      <c r="IN1" s="62">
        <f t="shared" ref="IN1" si="146">IM1+1</f>
        <v>40294</v>
      </c>
      <c r="IO1" s="62">
        <f t="shared" ref="IO1" si="147">IN1+1</f>
        <v>40295</v>
      </c>
      <c r="IP1" s="62">
        <f t="shared" ref="IP1" si="148">IO1+1</f>
        <v>40296</v>
      </c>
      <c r="IQ1" s="62">
        <f t="shared" ref="IQ1" si="149">IP1+1</f>
        <v>40297</v>
      </c>
      <c r="IR1" s="62">
        <f t="shared" ref="IR1" si="150">IQ1+1</f>
        <v>40298</v>
      </c>
      <c r="IS1" s="62">
        <f t="shared" ref="IS1" si="151">IR1+1</f>
        <v>40299</v>
      </c>
      <c r="IT1" s="62">
        <f t="shared" ref="IT1" si="152">IS1+1</f>
        <v>40300</v>
      </c>
      <c r="IU1" s="62">
        <f t="shared" ref="IU1" si="153">IT1+1</f>
        <v>40301</v>
      </c>
      <c r="IV1" s="62">
        <f t="shared" ref="IV1" si="154">IU1+1</f>
        <v>40302</v>
      </c>
      <c r="IW1" s="62">
        <f t="shared" ref="IW1" si="155">IV1+1</f>
        <v>40303</v>
      </c>
      <c r="IX1" s="62">
        <f t="shared" ref="IX1" si="156">IW1+1</f>
        <v>40304</v>
      </c>
      <c r="IY1" s="62">
        <f t="shared" ref="IY1" si="157">IX1+1</f>
        <v>40305</v>
      </c>
      <c r="IZ1" s="62">
        <f t="shared" ref="IZ1" si="158">IY1+1</f>
        <v>40306</v>
      </c>
      <c r="JA1" s="62">
        <f t="shared" ref="JA1" si="159">IZ1+1</f>
        <v>40307</v>
      </c>
      <c r="JB1" s="62">
        <f t="shared" ref="JB1" si="160">JA1+1</f>
        <v>40308</v>
      </c>
      <c r="JC1" s="62">
        <f t="shared" ref="JC1" si="161">JB1+1</f>
        <v>40309</v>
      </c>
      <c r="JD1" s="62">
        <f t="shared" ref="JD1" si="162">JC1+1</f>
        <v>40310</v>
      </c>
      <c r="JE1" s="62">
        <f t="shared" ref="JE1" si="163">JD1+1</f>
        <v>40311</v>
      </c>
      <c r="JF1" s="62">
        <f t="shared" ref="JF1" si="164">JE1+1</f>
        <v>40312</v>
      </c>
      <c r="JG1" s="62">
        <f t="shared" ref="JG1" si="165">JF1+1</f>
        <v>40313</v>
      </c>
      <c r="JH1" s="62">
        <f t="shared" ref="JH1" si="166">JG1+1</f>
        <v>40314</v>
      </c>
      <c r="JI1" s="62">
        <f t="shared" ref="JI1" si="167">JH1+1</f>
        <v>40315</v>
      </c>
      <c r="JJ1" s="62">
        <f t="shared" ref="JJ1" si="168">JI1+1</f>
        <v>40316</v>
      </c>
      <c r="JK1" s="62">
        <f t="shared" ref="JK1" si="169">JJ1+1</f>
        <v>40317</v>
      </c>
      <c r="JL1" s="62">
        <f t="shared" ref="JL1" si="170">JK1+1</f>
        <v>40318</v>
      </c>
      <c r="JM1" s="62">
        <f t="shared" ref="JM1" si="171">JL1+1</f>
        <v>40319</v>
      </c>
      <c r="JN1" s="62">
        <f t="shared" ref="JN1" si="172">JM1+1</f>
        <v>40320</v>
      </c>
      <c r="JO1" s="62">
        <f t="shared" ref="JO1" si="173">JN1+1</f>
        <v>40321</v>
      </c>
      <c r="JP1" s="62">
        <f t="shared" ref="JP1" si="174">JO1+1</f>
        <v>40322</v>
      </c>
      <c r="JQ1" s="62">
        <f t="shared" ref="JQ1" si="175">JP1+1</f>
        <v>40323</v>
      </c>
      <c r="JR1" s="62">
        <f t="shared" ref="JR1" si="176">JQ1+1</f>
        <v>40324</v>
      </c>
      <c r="JS1" s="62">
        <f t="shared" ref="JS1" si="177">JR1+1</f>
        <v>40325</v>
      </c>
      <c r="JT1" s="62">
        <f t="shared" ref="JT1" si="178">JS1+1</f>
        <v>40326</v>
      </c>
      <c r="JU1" s="62">
        <f t="shared" ref="JU1" si="179">JT1+1</f>
        <v>40327</v>
      </c>
      <c r="JV1" s="62">
        <f t="shared" ref="JV1" si="180">JU1+1</f>
        <v>40328</v>
      </c>
      <c r="JW1" s="62">
        <f t="shared" ref="JW1" si="181">JV1+1</f>
        <v>40329</v>
      </c>
      <c r="JX1" s="62">
        <f t="shared" ref="JX1" si="182">JW1+1</f>
        <v>40330</v>
      </c>
      <c r="JY1" s="62">
        <f t="shared" ref="JY1" si="183">JX1+1</f>
        <v>40331</v>
      </c>
      <c r="JZ1" s="62">
        <f t="shared" ref="JZ1" si="184">JY1+1</f>
        <v>40332</v>
      </c>
      <c r="KA1" s="62">
        <f t="shared" ref="KA1" si="185">JZ1+1</f>
        <v>40333</v>
      </c>
      <c r="KB1" s="62">
        <f t="shared" ref="KB1" si="186">KA1+1</f>
        <v>40334</v>
      </c>
      <c r="KC1" s="62">
        <f t="shared" ref="KC1" si="187">KB1+1</f>
        <v>40335</v>
      </c>
      <c r="KD1" s="62">
        <f t="shared" ref="KD1" si="188">KC1+1</f>
        <v>40336</v>
      </c>
      <c r="KE1" s="62">
        <f t="shared" ref="KE1" si="189">KD1+1</f>
        <v>40337</v>
      </c>
      <c r="KF1" s="62">
        <f t="shared" ref="KF1" si="190">KE1+1</f>
        <v>40338</v>
      </c>
      <c r="KG1" s="62">
        <f t="shared" ref="KG1" si="191">KF1+1</f>
        <v>40339</v>
      </c>
      <c r="KH1" s="62">
        <f t="shared" ref="KH1" si="192">KG1+1</f>
        <v>40340</v>
      </c>
      <c r="KI1" s="62">
        <f t="shared" ref="KI1:LP1" si="193">KH1+1</f>
        <v>40341</v>
      </c>
      <c r="KJ1" s="62">
        <f t="shared" si="193"/>
        <v>40342</v>
      </c>
      <c r="KK1" s="62">
        <f t="shared" si="193"/>
        <v>40343</v>
      </c>
      <c r="KL1" s="62">
        <f t="shared" si="193"/>
        <v>40344</v>
      </c>
      <c r="KM1" s="62">
        <f t="shared" si="193"/>
        <v>40345</v>
      </c>
      <c r="KN1" s="62">
        <f t="shared" si="193"/>
        <v>40346</v>
      </c>
      <c r="KO1" s="62">
        <f t="shared" si="193"/>
        <v>40347</v>
      </c>
      <c r="KP1" s="62">
        <f t="shared" si="193"/>
        <v>40348</v>
      </c>
      <c r="KQ1" s="62">
        <f t="shared" si="193"/>
        <v>40349</v>
      </c>
      <c r="KR1" s="62">
        <f t="shared" si="193"/>
        <v>40350</v>
      </c>
      <c r="KS1" s="62">
        <f t="shared" si="193"/>
        <v>40351</v>
      </c>
      <c r="KT1" s="62">
        <f t="shared" si="193"/>
        <v>40352</v>
      </c>
      <c r="KU1" s="62">
        <f t="shared" si="193"/>
        <v>40353</v>
      </c>
      <c r="KV1" s="62">
        <f t="shared" si="193"/>
        <v>40354</v>
      </c>
      <c r="KW1" s="62">
        <f t="shared" si="193"/>
        <v>40355</v>
      </c>
      <c r="KX1" s="62">
        <f t="shared" si="193"/>
        <v>40356</v>
      </c>
      <c r="KY1" s="62">
        <f t="shared" si="193"/>
        <v>40357</v>
      </c>
      <c r="KZ1" s="62">
        <f t="shared" si="193"/>
        <v>40358</v>
      </c>
      <c r="LA1" s="62">
        <f t="shared" si="193"/>
        <v>40359</v>
      </c>
      <c r="LB1" s="62">
        <f t="shared" si="193"/>
        <v>40360</v>
      </c>
      <c r="LC1" s="62">
        <f t="shared" si="193"/>
        <v>40361</v>
      </c>
      <c r="LD1" s="62">
        <f t="shared" si="193"/>
        <v>40362</v>
      </c>
      <c r="LE1" s="62">
        <f t="shared" si="193"/>
        <v>40363</v>
      </c>
      <c r="LF1" s="62">
        <f t="shared" si="193"/>
        <v>40364</v>
      </c>
      <c r="LG1" s="62">
        <f t="shared" si="193"/>
        <v>40365</v>
      </c>
      <c r="LH1" s="62">
        <f t="shared" si="193"/>
        <v>40366</v>
      </c>
      <c r="LI1" s="62">
        <f t="shared" si="193"/>
        <v>40367</v>
      </c>
      <c r="LJ1" s="62">
        <f t="shared" si="193"/>
        <v>40368</v>
      </c>
      <c r="LK1" s="62">
        <f t="shared" si="193"/>
        <v>40369</v>
      </c>
      <c r="LL1" s="62">
        <f t="shared" si="193"/>
        <v>40370</v>
      </c>
      <c r="LM1" s="62">
        <f t="shared" si="193"/>
        <v>40371</v>
      </c>
      <c r="LN1" s="62">
        <f t="shared" si="193"/>
        <v>40372</v>
      </c>
      <c r="LO1" s="62">
        <f t="shared" si="193"/>
        <v>40373</v>
      </c>
      <c r="LP1" s="62">
        <f t="shared" si="193"/>
        <v>40374</v>
      </c>
      <c r="LQ1" s="62">
        <f t="shared" ref="LQ1:NI1" si="194">LP1+1</f>
        <v>40375</v>
      </c>
      <c r="LR1" s="62">
        <f t="shared" si="194"/>
        <v>40376</v>
      </c>
      <c r="LS1" s="62">
        <f t="shared" si="194"/>
        <v>40377</v>
      </c>
      <c r="LT1" s="62">
        <f t="shared" si="194"/>
        <v>40378</v>
      </c>
      <c r="LU1" s="62">
        <f t="shared" si="194"/>
        <v>40379</v>
      </c>
      <c r="LV1" s="62">
        <f t="shared" si="194"/>
        <v>40380</v>
      </c>
      <c r="LW1" s="62">
        <f t="shared" si="194"/>
        <v>40381</v>
      </c>
      <c r="LX1" s="62">
        <f t="shared" si="194"/>
        <v>40382</v>
      </c>
      <c r="LY1" s="62">
        <f t="shared" si="194"/>
        <v>40383</v>
      </c>
      <c r="LZ1" s="62">
        <f t="shared" si="194"/>
        <v>40384</v>
      </c>
      <c r="MA1" s="62">
        <f t="shared" si="194"/>
        <v>40385</v>
      </c>
      <c r="MB1" s="62">
        <f t="shared" si="194"/>
        <v>40386</v>
      </c>
      <c r="MC1" s="62">
        <f t="shared" si="194"/>
        <v>40387</v>
      </c>
      <c r="MD1" s="62">
        <f t="shared" si="194"/>
        <v>40388</v>
      </c>
      <c r="ME1" s="62">
        <f t="shared" si="194"/>
        <v>40389</v>
      </c>
      <c r="MF1" s="62">
        <f t="shared" si="194"/>
        <v>40390</v>
      </c>
      <c r="MG1" s="62">
        <f t="shared" si="194"/>
        <v>40391</v>
      </c>
      <c r="MH1" s="62">
        <f t="shared" si="194"/>
        <v>40392</v>
      </c>
      <c r="MI1" s="62">
        <f t="shared" si="194"/>
        <v>40393</v>
      </c>
      <c r="MJ1" s="62">
        <f t="shared" si="194"/>
        <v>40394</v>
      </c>
      <c r="MK1" s="62">
        <f t="shared" si="194"/>
        <v>40395</v>
      </c>
      <c r="ML1" s="62">
        <f t="shared" si="194"/>
        <v>40396</v>
      </c>
      <c r="MM1" s="62">
        <f t="shared" si="194"/>
        <v>40397</v>
      </c>
      <c r="MN1" s="62">
        <f t="shared" si="194"/>
        <v>40398</v>
      </c>
      <c r="MO1" s="62">
        <f t="shared" si="194"/>
        <v>40399</v>
      </c>
      <c r="MP1" s="62">
        <f t="shared" si="194"/>
        <v>40400</v>
      </c>
      <c r="MQ1" s="62">
        <f t="shared" si="194"/>
        <v>40401</v>
      </c>
      <c r="MR1" s="62">
        <f t="shared" si="194"/>
        <v>40402</v>
      </c>
      <c r="MS1" s="62">
        <f t="shared" si="194"/>
        <v>40403</v>
      </c>
      <c r="MT1" s="62">
        <f t="shared" si="194"/>
        <v>40404</v>
      </c>
      <c r="MU1" s="62">
        <f t="shared" si="194"/>
        <v>40405</v>
      </c>
      <c r="MV1" s="62">
        <f t="shared" si="194"/>
        <v>40406</v>
      </c>
      <c r="MW1" s="62">
        <f t="shared" si="194"/>
        <v>40407</v>
      </c>
      <c r="MX1" s="62">
        <f t="shared" si="194"/>
        <v>40408</v>
      </c>
      <c r="MY1" s="62">
        <f t="shared" si="194"/>
        <v>40409</v>
      </c>
      <c r="MZ1" s="62">
        <f t="shared" si="194"/>
        <v>40410</v>
      </c>
      <c r="NA1" s="62">
        <f t="shared" si="194"/>
        <v>40411</v>
      </c>
      <c r="NB1" s="62">
        <f t="shared" si="194"/>
        <v>40412</v>
      </c>
      <c r="NC1" s="62">
        <f t="shared" si="194"/>
        <v>40413</v>
      </c>
      <c r="ND1" s="62">
        <f t="shared" si="194"/>
        <v>40414</v>
      </c>
      <c r="NE1" s="62">
        <f t="shared" si="194"/>
        <v>40415</v>
      </c>
      <c r="NF1" s="62">
        <f t="shared" si="194"/>
        <v>40416</v>
      </c>
      <c r="NG1" s="62">
        <f t="shared" si="194"/>
        <v>40417</v>
      </c>
      <c r="NH1" s="62">
        <f t="shared" si="194"/>
        <v>40418</v>
      </c>
      <c r="NI1" s="62">
        <f t="shared" si="194"/>
        <v>40419</v>
      </c>
      <c r="NJ1" s="1"/>
    </row>
    <row r="2" spans="1:374" s="17" customFormat="1" ht="15" customHeight="1">
      <c r="A2" s="40" t="s">
        <v>8</v>
      </c>
      <c r="B2" s="41" t="s">
        <v>33</v>
      </c>
      <c r="C2" s="29"/>
      <c r="D2" s="29"/>
      <c r="E2" s="29"/>
      <c r="F2" s="29"/>
      <c r="G2" s="29"/>
      <c r="H2" s="29"/>
      <c r="I2" s="29"/>
      <c r="J2" s="56" t="str">
        <f>IF(ShowFY,IF(MONTH(J1)&lt;4,YEAR(J1)-1&amp;"/"&amp;RIGHT(YEAR(J1),2),YEAR(J1)&amp;"/"&amp;RIGHT(YEAR(J1)+1,2)),YEAR(J1))</f>
        <v>2009/10</v>
      </c>
      <c r="K2" s="56"/>
      <c r="L2" s="56"/>
      <c r="M2" s="56"/>
      <c r="N2" s="56"/>
      <c r="O2" s="56"/>
      <c r="P2" s="56"/>
      <c r="Q2" s="56" t="str">
        <f>IF(ShowFY,IF(MONTH(Q1)&lt;4,YEAR(Q1)-1&amp;"/"&amp;RIGHT(YEAR(Q1),2),YEAR(Q1)&amp;"/"&amp;RIGHT(YEAR(Q1)+1,2)),YEAR(Q1))</f>
        <v>2009/10</v>
      </c>
      <c r="R2" s="56"/>
      <c r="S2" s="56"/>
      <c r="T2" s="56"/>
      <c r="U2" s="56"/>
      <c r="V2" s="56"/>
      <c r="W2" s="56"/>
      <c r="X2" s="56" t="str">
        <f>IF(ShowFY,IF(MONTH(X1)&lt;4,YEAR(X1)-1&amp;"/"&amp;RIGHT(YEAR(X1),2),YEAR(X1)&amp;"/"&amp;RIGHT(YEAR(X1)+1,2)),YEAR(X1))</f>
        <v>2009/10</v>
      </c>
      <c r="Y2" s="56"/>
      <c r="Z2" s="56"/>
      <c r="AA2" s="56"/>
      <c r="AB2" s="56"/>
      <c r="AC2" s="56"/>
      <c r="AD2" s="56"/>
      <c r="AE2" s="56" t="str">
        <f>IF(ShowFY,IF(MONTH(AE1)&lt;4,YEAR(AE1)-1&amp;"/"&amp;RIGHT(YEAR(AE1),2),YEAR(AE1)&amp;"/"&amp;RIGHT(YEAR(AE1)+1,2)),YEAR(AE1))</f>
        <v>2009/10</v>
      </c>
      <c r="AF2" s="56"/>
      <c r="AG2" s="56"/>
      <c r="AH2" s="56"/>
      <c r="AI2" s="56"/>
      <c r="AJ2" s="56"/>
      <c r="AK2" s="56"/>
      <c r="AL2" s="56" t="str">
        <f>IF(ShowFY,IF(MONTH(AL1)&lt;4,YEAR(AL1)-1&amp;"/"&amp;RIGHT(YEAR(AL1),2),YEAR(AL1)&amp;"/"&amp;RIGHT(YEAR(AL1)+1,2)),YEAR(AL1))</f>
        <v>2009/10</v>
      </c>
      <c r="AM2" s="56"/>
      <c r="AN2" s="56"/>
      <c r="AO2" s="56"/>
      <c r="AP2" s="56"/>
      <c r="AQ2" s="56"/>
      <c r="AR2" s="56"/>
      <c r="AS2" s="56" t="str">
        <f>IF(ShowFY,IF(MONTH(AS1)&lt;4,YEAR(AS1)-1&amp;"/"&amp;RIGHT(YEAR(AS1),2),YEAR(AS1)&amp;"/"&amp;RIGHT(YEAR(AS1)+1,2)),YEAR(AS1))</f>
        <v>2009/10</v>
      </c>
      <c r="AT2" s="56"/>
      <c r="AU2" s="56"/>
      <c r="AV2" s="56"/>
      <c r="AW2" s="56"/>
      <c r="AX2" s="56"/>
      <c r="AY2" s="56"/>
      <c r="AZ2" s="56" t="str">
        <f>IF(ShowFY,IF(MONTH(AZ1)&lt;4,YEAR(AZ1)-1&amp;"/"&amp;RIGHT(YEAR(AZ1),2),YEAR(AZ1)&amp;"/"&amp;RIGHT(YEAR(AZ1)+1,2)),YEAR(AZ1))</f>
        <v>2009/10</v>
      </c>
      <c r="BA2" s="56"/>
      <c r="BB2" s="56"/>
      <c r="BC2" s="56"/>
      <c r="BD2" s="56"/>
      <c r="BE2" s="56"/>
      <c r="BF2" s="56"/>
      <c r="BG2" s="56" t="str">
        <f>IF(ShowFY,IF(MONTH(BG1)&lt;4,YEAR(BG1)-1&amp;"/"&amp;RIGHT(YEAR(BG1),2),YEAR(BG1)&amp;"/"&amp;RIGHT(YEAR(BG1)+1,2)),YEAR(BG1))</f>
        <v>2009/10</v>
      </c>
      <c r="BH2" s="56"/>
      <c r="BI2" s="56"/>
      <c r="BJ2" s="56"/>
      <c r="BK2" s="56"/>
      <c r="BL2" s="56"/>
      <c r="BM2" s="56"/>
      <c r="BN2" s="56" t="str">
        <f>IF(ShowFY,IF(MONTH(BN1)&lt;4,YEAR(BN1)-1&amp;"/"&amp;RIGHT(YEAR(BN1),2),YEAR(BN1)&amp;"/"&amp;RIGHT(YEAR(BN1)+1,2)),YEAR(BN1))</f>
        <v>2009/10</v>
      </c>
      <c r="BO2" s="56"/>
      <c r="BP2" s="56"/>
      <c r="BQ2" s="56"/>
      <c r="BR2" s="56"/>
      <c r="BS2" s="56"/>
      <c r="BT2" s="56"/>
      <c r="BU2" s="56" t="str">
        <f>IF(ShowFY,IF(MONTH(BU1)&lt;4,YEAR(BU1)-1&amp;"/"&amp;RIGHT(YEAR(BU1),2),YEAR(BU1)&amp;"/"&amp;RIGHT(YEAR(BU1)+1,2)),YEAR(BU1))</f>
        <v>2009/10</v>
      </c>
      <c r="BV2" s="56"/>
      <c r="BW2" s="56"/>
      <c r="BX2" s="56"/>
      <c r="BY2" s="56"/>
      <c r="BZ2" s="56"/>
      <c r="CA2" s="56"/>
      <c r="CB2" s="56" t="str">
        <f>IF(ShowFY,IF(MONTH(CB1)&lt;4,YEAR(CB1)-1&amp;"/"&amp;RIGHT(YEAR(CB1),2),YEAR(CB1)&amp;"/"&amp;RIGHT(YEAR(CB1)+1,2)),YEAR(CB1))</f>
        <v>2009/10</v>
      </c>
      <c r="CC2" s="56"/>
      <c r="CD2" s="56"/>
      <c r="CE2" s="56"/>
      <c r="CF2" s="56"/>
      <c r="CG2" s="56"/>
      <c r="CH2" s="56"/>
      <c r="CI2" s="56" t="str">
        <f>IF(ShowFY,IF(MONTH(CI1)&lt;4,YEAR(CI1)-1&amp;"/"&amp;RIGHT(YEAR(CI1),2),YEAR(CI1)&amp;"/"&amp;RIGHT(YEAR(CI1)+1,2)),YEAR(CI1))</f>
        <v>2009/10</v>
      </c>
      <c r="CJ2" s="56"/>
      <c r="CK2" s="56"/>
      <c r="CL2" s="56"/>
      <c r="CM2" s="56"/>
      <c r="CN2" s="56"/>
      <c r="CO2" s="56"/>
      <c r="CP2" s="56" t="str">
        <f>IF(ShowFY,IF(MONTH(CP1)&lt;4,YEAR(CP1)-1&amp;"/"&amp;RIGHT(YEAR(CP1),2),YEAR(CP1)&amp;"/"&amp;RIGHT(YEAR(CP1)+1,2)),YEAR(CP1))</f>
        <v>2009/10</v>
      </c>
      <c r="CQ2" s="56"/>
      <c r="CR2" s="56"/>
      <c r="CS2" s="56"/>
      <c r="CT2" s="56"/>
      <c r="CU2" s="56"/>
      <c r="CV2" s="56"/>
      <c r="CW2" s="56" t="str">
        <f>IF(ShowFY,IF(MONTH(CW1)&lt;4,YEAR(CW1)-1&amp;"/"&amp;RIGHT(YEAR(CW1),2),YEAR(CW1)&amp;"/"&amp;RIGHT(YEAR(CW1)+1,2)),YEAR(CW1))</f>
        <v>2009/10</v>
      </c>
      <c r="CX2" s="56"/>
      <c r="CY2" s="56"/>
      <c r="CZ2" s="56"/>
      <c r="DA2" s="56"/>
      <c r="DB2" s="56"/>
      <c r="DC2" s="56"/>
      <c r="DD2" s="56" t="str">
        <f>IF(ShowFY,IF(MONTH(DD1)&lt;4,YEAR(DD1)-1&amp;"/"&amp;RIGHT(YEAR(DD1),2),YEAR(DD1)&amp;"/"&amp;RIGHT(YEAR(DD1)+1,2)),YEAR(DD1))</f>
        <v>2009/10</v>
      </c>
      <c r="DE2" s="56"/>
      <c r="DF2" s="56"/>
      <c r="DG2" s="56"/>
      <c r="DH2" s="56"/>
      <c r="DI2" s="56"/>
      <c r="DJ2" s="56"/>
      <c r="DK2" s="56" t="str">
        <f>IF(ShowFY,IF(MONTH(DK1)&lt;4,YEAR(DK1)-1&amp;"/"&amp;RIGHT(YEAR(DK1),2),YEAR(DK1)&amp;"/"&amp;RIGHT(YEAR(DK1)+1,2)),YEAR(DK1))</f>
        <v>2009/10</v>
      </c>
      <c r="DL2" s="56"/>
      <c r="DM2" s="56"/>
      <c r="DN2" s="56"/>
      <c r="DO2" s="56"/>
      <c r="DP2" s="56"/>
      <c r="DQ2" s="56"/>
      <c r="DR2" s="56" t="str">
        <f>IF(ShowFY,IF(MONTH(DR1)&lt;4,YEAR(DR1)-1&amp;"/"&amp;RIGHT(YEAR(DR1),2),YEAR(DR1)&amp;"/"&amp;RIGHT(YEAR(DR1)+1,2)),YEAR(DR1))</f>
        <v>2009/10</v>
      </c>
      <c r="DS2" s="56"/>
      <c r="DT2" s="56"/>
      <c r="DU2" s="56"/>
      <c r="DV2" s="56"/>
      <c r="DW2" s="56"/>
      <c r="DX2" s="56"/>
      <c r="DY2" s="56" t="str">
        <f>IF(ShowFY,IF(MONTH(DY1)&lt;4,YEAR(DY1)-1&amp;"/"&amp;RIGHT(YEAR(DY1),2),YEAR(DY1)&amp;"/"&amp;RIGHT(YEAR(DY1)+1,2)),YEAR(DY1))</f>
        <v>2009/10</v>
      </c>
      <c r="DZ2" s="56"/>
      <c r="EA2" s="56"/>
      <c r="EB2" s="56"/>
      <c r="EC2" s="56"/>
      <c r="ED2" s="56"/>
      <c r="EE2" s="56"/>
      <c r="EF2" s="56" t="str">
        <f>IF(ShowFY,IF(MONTH(EF1)&lt;4,YEAR(EF1)-1&amp;"/"&amp;RIGHT(YEAR(EF1),2),YEAR(EF1)&amp;"/"&amp;RIGHT(YEAR(EF1)+1,2)),YEAR(EF1))</f>
        <v>2009/10</v>
      </c>
      <c r="EG2" s="56"/>
      <c r="EH2" s="56"/>
      <c r="EI2" s="56"/>
      <c r="EJ2" s="56"/>
      <c r="EK2" s="56"/>
      <c r="EL2" s="56"/>
      <c r="EM2" s="56" t="str">
        <f>IF(ShowFY,IF(MONTH(EM1)&lt;4,YEAR(EM1)-1&amp;"/"&amp;RIGHT(YEAR(EM1),2),YEAR(EM1)&amp;"/"&amp;RIGHT(YEAR(EM1)+1,2)),YEAR(EM1))</f>
        <v>2009/10</v>
      </c>
      <c r="EN2" s="56"/>
      <c r="EO2" s="56"/>
      <c r="EP2" s="56"/>
      <c r="EQ2" s="56"/>
      <c r="ER2" s="56"/>
      <c r="ES2" s="56"/>
      <c r="ET2" s="56" t="str">
        <f>IF(ShowFY,IF(MONTH(ET1)&lt;4,YEAR(ET1)-1&amp;"/"&amp;RIGHT(YEAR(ET1),2),YEAR(ET1)&amp;"/"&amp;RIGHT(YEAR(ET1)+1,2)),YEAR(ET1))</f>
        <v>2009/10</v>
      </c>
      <c r="EU2" s="56"/>
      <c r="EV2" s="56"/>
      <c r="EW2" s="56"/>
      <c r="EX2" s="56"/>
      <c r="EY2" s="56"/>
      <c r="EZ2" s="56"/>
      <c r="FA2" s="56" t="str">
        <f>IF(ShowFY,IF(MONTH(FA1)&lt;4,YEAR(FA1)-1&amp;"/"&amp;RIGHT(YEAR(FA1),2),YEAR(FA1)&amp;"/"&amp;RIGHT(YEAR(FA1)+1,2)),YEAR(FA1))</f>
        <v>2009/10</v>
      </c>
      <c r="FB2" s="56"/>
      <c r="FC2" s="56"/>
      <c r="FD2" s="56"/>
      <c r="FE2" s="56"/>
      <c r="FF2" s="56"/>
      <c r="FG2" s="56"/>
      <c r="FH2" s="56" t="str">
        <f>IF(ShowFY,IF(MONTH(FH1)&lt;4,YEAR(FH1)-1&amp;"/"&amp;RIGHT(YEAR(FH1),2),YEAR(FH1)&amp;"/"&amp;RIGHT(YEAR(FH1)+1,2)),YEAR(FH1))</f>
        <v>2009/10</v>
      </c>
      <c r="FI2" s="56"/>
      <c r="FJ2" s="56"/>
      <c r="FK2" s="56"/>
      <c r="FL2" s="56"/>
      <c r="FM2" s="56"/>
      <c r="FN2" s="56"/>
      <c r="FO2" s="56" t="str">
        <f>IF(ShowFY,IF(MONTH(FO1)&lt;4,YEAR(FO1)-1&amp;"/"&amp;RIGHT(YEAR(FO1),2),YEAR(FO1)&amp;"/"&amp;RIGHT(YEAR(FO1)+1,2)),YEAR(FO1))</f>
        <v>2009/10</v>
      </c>
      <c r="FP2" s="56"/>
      <c r="FQ2" s="56"/>
      <c r="FR2" s="56"/>
      <c r="FS2" s="56"/>
      <c r="FT2" s="56"/>
      <c r="FU2" s="56"/>
      <c r="FV2" s="56" t="str">
        <f>IF(ShowFY,IF(MONTH(FV1)&lt;4,YEAR(FV1)-1&amp;"/"&amp;RIGHT(YEAR(FV1),2),YEAR(FV1)&amp;"/"&amp;RIGHT(YEAR(FV1)+1,2)),YEAR(FV1))</f>
        <v>2009/10</v>
      </c>
      <c r="FW2" s="56"/>
      <c r="FX2" s="56"/>
      <c r="FY2" s="56"/>
      <c r="FZ2" s="56"/>
      <c r="GA2" s="56"/>
      <c r="GB2" s="56"/>
      <c r="GC2" s="56" t="str">
        <f>IF(ShowFY,IF(MONTH(GC1)&lt;4,YEAR(GC1)-1&amp;"/"&amp;RIGHT(YEAR(GC1),2),YEAR(GC1)&amp;"/"&amp;RIGHT(YEAR(GC1)+1,2)),YEAR(GC1))</f>
        <v>2009/10</v>
      </c>
      <c r="GD2" s="56"/>
      <c r="GE2" s="56"/>
      <c r="GF2" s="56"/>
      <c r="GG2" s="56"/>
      <c r="GH2" s="56"/>
      <c r="GI2" s="56"/>
      <c r="GJ2" s="56" t="str">
        <f>IF(ShowFY,IF(MONTH(GJ1)&lt;4,YEAR(GJ1)-1&amp;"/"&amp;RIGHT(YEAR(GJ1),2),YEAR(GJ1)&amp;"/"&amp;RIGHT(YEAR(GJ1)+1,2)),YEAR(GJ1))</f>
        <v>2009/10</v>
      </c>
      <c r="GK2" s="56"/>
      <c r="GL2" s="56"/>
      <c r="GM2" s="56"/>
      <c r="GN2" s="56"/>
      <c r="GO2" s="56"/>
      <c r="GP2" s="56"/>
      <c r="GQ2" s="56" t="str">
        <f>IF(ShowFY,IF(MONTH(GQ1)&lt;4,YEAR(GQ1)-1&amp;"/"&amp;RIGHT(YEAR(GQ1),2),YEAR(GQ1)&amp;"/"&amp;RIGHT(YEAR(GQ1)+1,2)),YEAR(GQ1))</f>
        <v>2009/10</v>
      </c>
      <c r="GR2" s="56"/>
      <c r="GS2" s="56"/>
      <c r="GT2" s="56"/>
      <c r="GU2" s="56"/>
      <c r="GV2" s="56"/>
      <c r="GW2" s="56"/>
      <c r="GX2" s="56" t="str">
        <f>IF(ShowFY,IF(MONTH(GX1)&lt;4,YEAR(GX1)-1&amp;"/"&amp;RIGHT(YEAR(GX1),2),YEAR(GX1)&amp;"/"&amp;RIGHT(YEAR(GX1)+1,2)),YEAR(GX1))</f>
        <v>2009/10</v>
      </c>
      <c r="GY2" s="56"/>
      <c r="GZ2" s="56"/>
      <c r="HA2" s="56"/>
      <c r="HB2" s="56"/>
      <c r="HC2" s="56"/>
      <c r="HD2" s="56"/>
      <c r="HE2" s="56" t="str">
        <f>IF(ShowFY,IF(MONTH(HE1)&lt;4,YEAR(HE1)-1&amp;"/"&amp;RIGHT(YEAR(HE1),2),YEAR(HE1)&amp;"/"&amp;RIGHT(YEAR(HE1)+1,2)),YEAR(HE1))</f>
        <v>2009/10</v>
      </c>
      <c r="HF2" s="56"/>
      <c r="HG2" s="56"/>
      <c r="HH2" s="56"/>
      <c r="HI2" s="56"/>
      <c r="HJ2" s="56"/>
      <c r="HK2" s="56"/>
      <c r="HL2" s="56" t="str">
        <f>IF(ShowFY,IF(MONTH(HL1)&lt;4,YEAR(HL1)-1&amp;"/"&amp;RIGHT(YEAR(HL1),2),YEAR(HL1)&amp;"/"&amp;RIGHT(YEAR(HL1)+1,2)),YEAR(HL1))</f>
        <v>2009/10</v>
      </c>
      <c r="HM2" s="56"/>
      <c r="HN2" s="56"/>
      <c r="HO2" s="56"/>
      <c r="HP2" s="56"/>
      <c r="HQ2" s="56"/>
      <c r="HR2" s="56"/>
      <c r="HS2" s="56" t="str">
        <f>IF(ShowFY,IF(MONTH(HS1)&lt;4,YEAR(HS1)-1&amp;"/"&amp;RIGHT(YEAR(HS1),2),YEAR(HS1)&amp;"/"&amp;RIGHT(YEAR(HS1)+1,2)),YEAR(HS1))</f>
        <v>2010/11</v>
      </c>
      <c r="HT2" s="56"/>
      <c r="HU2" s="56"/>
      <c r="HV2" s="56"/>
      <c r="HW2" s="56"/>
      <c r="HX2" s="56"/>
      <c r="HY2" s="56"/>
      <c r="HZ2" s="56" t="str">
        <f>IF(ShowFY,IF(MONTH(HZ1)&lt;4,YEAR(HZ1)-1&amp;"/"&amp;RIGHT(YEAR(HZ1),2),YEAR(HZ1)&amp;"/"&amp;RIGHT(YEAR(HZ1)+1,2)),YEAR(HZ1))</f>
        <v>2010/11</v>
      </c>
      <c r="IA2" s="56"/>
      <c r="IB2" s="56"/>
      <c r="IC2" s="56"/>
      <c r="ID2" s="56"/>
      <c r="IE2" s="56"/>
      <c r="IF2" s="56"/>
      <c r="IG2" s="56" t="str">
        <f>IF(ShowFY,IF(MONTH(IG1)&lt;4,YEAR(IG1)-1&amp;"/"&amp;RIGHT(YEAR(IG1),2),YEAR(IG1)&amp;"/"&amp;RIGHT(YEAR(IG1)+1,2)),YEAR(IG1))</f>
        <v>2010/11</v>
      </c>
      <c r="IH2" s="56"/>
      <c r="II2" s="56"/>
      <c r="IJ2" s="56"/>
      <c r="IK2" s="56"/>
      <c r="IL2" s="56"/>
      <c r="IM2" s="56"/>
      <c r="IN2" s="56" t="str">
        <f>IF(ShowFY,IF(MONTH(IN1)&lt;4,YEAR(IN1)-1&amp;"/"&amp;RIGHT(YEAR(IN1),2),YEAR(IN1)&amp;"/"&amp;RIGHT(YEAR(IN1)+1,2)),YEAR(IN1))</f>
        <v>2010/11</v>
      </c>
      <c r="IO2" s="56"/>
      <c r="IP2" s="56"/>
      <c r="IQ2" s="56"/>
      <c r="IR2" s="56"/>
      <c r="IS2" s="56"/>
      <c r="IT2" s="56"/>
      <c r="IU2" s="56" t="str">
        <f>IF(ShowFY,IF(MONTH(IU1)&lt;4,YEAR(IU1)-1&amp;"/"&amp;RIGHT(YEAR(IU1),2),YEAR(IU1)&amp;"/"&amp;RIGHT(YEAR(IU1)+1,2)),YEAR(IU1))</f>
        <v>2010/11</v>
      </c>
      <c r="IV2" s="56"/>
      <c r="IW2" s="56"/>
      <c r="IX2" s="56"/>
      <c r="IY2" s="56"/>
      <c r="IZ2" s="56"/>
      <c r="JA2" s="56"/>
      <c r="JB2" s="56" t="str">
        <f>IF(ShowFY,IF(MONTH(JB1)&lt;4,YEAR(JB1)-1&amp;"/"&amp;RIGHT(YEAR(JB1),2),YEAR(JB1)&amp;"/"&amp;RIGHT(YEAR(JB1)+1,2)),YEAR(JB1))</f>
        <v>2010/11</v>
      </c>
      <c r="JC2" s="56"/>
      <c r="JD2" s="56"/>
      <c r="JE2" s="56"/>
      <c r="JF2" s="56"/>
      <c r="JG2" s="56"/>
      <c r="JH2" s="56"/>
      <c r="JI2" s="56" t="str">
        <f>IF(ShowFY,IF(MONTH(JI1)&lt;4,YEAR(JI1)-1&amp;"/"&amp;RIGHT(YEAR(JI1),2),YEAR(JI1)&amp;"/"&amp;RIGHT(YEAR(JI1)+1,2)),YEAR(JI1))</f>
        <v>2010/11</v>
      </c>
      <c r="JJ2" s="56"/>
      <c r="JK2" s="56"/>
      <c r="JL2" s="56"/>
      <c r="JM2" s="56"/>
      <c r="JN2" s="56"/>
      <c r="JO2" s="56"/>
      <c r="JP2" s="56" t="str">
        <f>IF(ShowFY,IF(MONTH(JP1)&lt;4,YEAR(JP1)-1&amp;"/"&amp;RIGHT(YEAR(JP1),2),YEAR(JP1)&amp;"/"&amp;RIGHT(YEAR(JP1)+1,2)),YEAR(JP1))</f>
        <v>2010/11</v>
      </c>
      <c r="JQ2" s="56"/>
      <c r="JR2" s="56"/>
      <c r="JS2" s="56"/>
      <c r="JT2" s="56"/>
      <c r="JU2" s="56"/>
      <c r="JV2" s="56"/>
      <c r="JW2" s="56" t="str">
        <f>IF(ShowFY,IF(MONTH(JW1)&lt;4,YEAR(JW1)-1&amp;"/"&amp;RIGHT(YEAR(JW1),2),YEAR(JW1)&amp;"/"&amp;RIGHT(YEAR(JW1)+1,2)),YEAR(JW1))</f>
        <v>2010/11</v>
      </c>
      <c r="JX2" s="56"/>
      <c r="JY2" s="56"/>
      <c r="JZ2" s="56"/>
      <c r="KA2" s="56"/>
      <c r="KB2" s="56"/>
      <c r="KC2" s="56"/>
      <c r="KD2" s="56" t="str">
        <f>IF(ShowFY,IF(MONTH(KD1)&lt;4,YEAR(KD1)-1&amp;"/"&amp;RIGHT(YEAR(KD1),2),YEAR(KD1)&amp;"/"&amp;RIGHT(YEAR(KD1)+1,2)),YEAR(KD1))</f>
        <v>2010/11</v>
      </c>
      <c r="KE2" s="56"/>
      <c r="KF2" s="56"/>
      <c r="KG2" s="56"/>
      <c r="KH2" s="56"/>
      <c r="KI2" s="56"/>
      <c r="KJ2" s="56"/>
      <c r="KK2" s="56" t="str">
        <f>IF(ShowFY,IF(MONTH(KK1)&lt;4,YEAR(KK1)-1&amp;"/"&amp;RIGHT(YEAR(KK1),2),YEAR(KK1)&amp;"/"&amp;RIGHT(YEAR(KK1)+1,2)),YEAR(KK1))</f>
        <v>2010/11</v>
      </c>
      <c r="KL2" s="56"/>
      <c r="KM2" s="56"/>
      <c r="KN2" s="56"/>
      <c r="KO2" s="56"/>
      <c r="KP2" s="56"/>
      <c r="KQ2" s="56"/>
      <c r="KR2" s="56" t="str">
        <f>IF(ShowFY,IF(MONTH(KR1)&lt;4,YEAR(KR1)-1&amp;"/"&amp;RIGHT(YEAR(KR1),2),YEAR(KR1)&amp;"/"&amp;RIGHT(YEAR(KR1)+1,2)),YEAR(KR1))</f>
        <v>2010/11</v>
      </c>
      <c r="KS2" s="56"/>
      <c r="KT2" s="56"/>
      <c r="KU2" s="56"/>
      <c r="KV2" s="56"/>
      <c r="KW2" s="56"/>
      <c r="KX2" s="56"/>
      <c r="KY2" s="56" t="str">
        <f>IF(ShowFY,IF(MONTH(KY1)&lt;4,YEAR(KY1)-1&amp;"/"&amp;RIGHT(YEAR(KY1),2),YEAR(KY1)&amp;"/"&amp;RIGHT(YEAR(KY1)+1,2)),YEAR(KY1))</f>
        <v>2010/11</v>
      </c>
      <c r="KZ2" s="56"/>
      <c r="LA2" s="56"/>
      <c r="LB2" s="56"/>
      <c r="LC2" s="56"/>
      <c r="LD2" s="56"/>
      <c r="LE2" s="56"/>
      <c r="LF2" s="56" t="str">
        <f>IF(ShowFY,IF(MONTH(LF1)&lt;4,YEAR(LF1)-1&amp;"/"&amp;RIGHT(YEAR(LF1),2),YEAR(LF1)&amp;"/"&amp;RIGHT(YEAR(LF1)+1,2)),YEAR(LF1))</f>
        <v>2010/11</v>
      </c>
      <c r="LG2" s="56"/>
      <c r="LH2" s="56"/>
      <c r="LI2" s="56"/>
      <c r="LJ2" s="56"/>
      <c r="LK2" s="56"/>
      <c r="LL2" s="56"/>
      <c r="LM2" s="56" t="str">
        <f>IF(ShowFY,IF(MONTH(LM1)&lt;4,YEAR(LM1)-1&amp;"/"&amp;RIGHT(YEAR(LM1),2),YEAR(LM1)&amp;"/"&amp;RIGHT(YEAR(LM1)+1,2)),YEAR(LM1))</f>
        <v>2010/11</v>
      </c>
      <c r="LN2" s="56"/>
      <c r="LO2" s="56"/>
      <c r="LP2" s="56"/>
      <c r="LQ2" s="56"/>
      <c r="LR2" s="56"/>
      <c r="LS2" s="56"/>
      <c r="LT2" s="56" t="str">
        <f>IF(ShowFY,IF(MONTH(LT1)&lt;4,YEAR(LT1)-1&amp;"/"&amp;RIGHT(YEAR(LT1),2),YEAR(LT1)&amp;"/"&amp;RIGHT(YEAR(LT1)+1,2)),YEAR(LT1))</f>
        <v>2010/11</v>
      </c>
      <c r="LU2" s="56"/>
      <c r="LV2" s="56"/>
      <c r="LW2" s="56"/>
      <c r="LX2" s="56"/>
      <c r="LY2" s="56"/>
      <c r="LZ2" s="56"/>
      <c r="MA2" s="56" t="str">
        <f>IF(ShowFY,IF(MONTH(MA1)&lt;4,YEAR(MA1)-1&amp;"/"&amp;RIGHT(YEAR(MA1),2),YEAR(MA1)&amp;"/"&amp;RIGHT(YEAR(MA1)+1,2)),YEAR(MA1))</f>
        <v>2010/11</v>
      </c>
      <c r="MB2" s="56"/>
      <c r="MC2" s="56"/>
      <c r="MD2" s="56"/>
      <c r="ME2" s="56"/>
      <c r="MF2" s="56"/>
      <c r="MG2" s="56"/>
      <c r="MH2" s="56" t="str">
        <f>IF(ShowFY,IF(MONTH(MH1)&lt;4,YEAR(MH1)-1&amp;"/"&amp;RIGHT(YEAR(MH1),2),YEAR(MH1)&amp;"/"&amp;RIGHT(YEAR(MH1)+1,2)),YEAR(MH1))</f>
        <v>2010/11</v>
      </c>
      <c r="MI2" s="56"/>
      <c r="MJ2" s="56"/>
      <c r="MK2" s="56"/>
      <c r="ML2" s="56"/>
      <c r="MM2" s="56"/>
      <c r="MN2" s="56"/>
      <c r="MO2" s="56" t="str">
        <f>IF(ShowFY,IF(MONTH(MO1)&lt;4,YEAR(MO1)-1&amp;"/"&amp;RIGHT(YEAR(MO1),2),YEAR(MO1)&amp;"/"&amp;RIGHT(YEAR(MO1)+1,2)),YEAR(MO1))</f>
        <v>2010/11</v>
      </c>
      <c r="MP2" s="56"/>
      <c r="MQ2" s="56"/>
      <c r="MR2" s="56"/>
      <c r="MS2" s="56"/>
      <c r="MT2" s="56"/>
      <c r="MU2" s="56"/>
      <c r="MV2" s="56" t="str">
        <f>IF(ShowFY,IF(MONTH(MV1)&lt;4,YEAR(MV1)-1&amp;"/"&amp;RIGHT(YEAR(MV1),2),YEAR(MV1)&amp;"/"&amp;RIGHT(YEAR(MV1)+1,2)),YEAR(MV1))</f>
        <v>2010/11</v>
      </c>
      <c r="MW2" s="56"/>
      <c r="MX2" s="56"/>
      <c r="MY2" s="56"/>
      <c r="MZ2" s="56"/>
      <c r="NA2" s="56"/>
      <c r="NB2" s="56"/>
      <c r="NC2" s="56" t="str">
        <f>IF(ShowFY,IF(MONTH(NC1)&lt;4,YEAR(NC1)-1&amp;"/"&amp;RIGHT(YEAR(NC1),2),YEAR(NC1)&amp;"/"&amp;RIGHT(YEAR(NC1)+1,2)),YEAR(NC1))</f>
        <v>2010/11</v>
      </c>
      <c r="ND2" s="56"/>
      <c r="NE2" s="56"/>
      <c r="NF2" s="56"/>
      <c r="NG2" s="56"/>
      <c r="NH2" s="56"/>
      <c r="NI2" s="57"/>
    </row>
    <row r="3" spans="1:374">
      <c r="A3" s="42" t="s">
        <v>19</v>
      </c>
      <c r="B3" s="43">
        <v>40057</v>
      </c>
      <c r="C3" s="30"/>
      <c r="D3" s="30"/>
      <c r="E3" s="29"/>
      <c r="F3" s="30"/>
      <c r="G3" s="30"/>
      <c r="H3" s="30"/>
      <c r="I3" s="31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  <c r="DO3" s="56"/>
      <c r="DP3" s="56"/>
      <c r="DQ3" s="56"/>
      <c r="DR3" s="56"/>
      <c r="DS3" s="56"/>
      <c r="DT3" s="56"/>
      <c r="DU3" s="56"/>
      <c r="DV3" s="56"/>
      <c r="DW3" s="56"/>
      <c r="DX3" s="56"/>
      <c r="DY3" s="56"/>
      <c r="DZ3" s="56"/>
      <c r="EA3" s="56"/>
      <c r="EB3" s="56"/>
      <c r="EC3" s="56"/>
      <c r="ED3" s="56"/>
      <c r="EE3" s="56"/>
      <c r="EF3" s="56"/>
      <c r="EG3" s="56"/>
      <c r="EH3" s="56"/>
      <c r="EI3" s="56"/>
      <c r="EJ3" s="56"/>
      <c r="EK3" s="56"/>
      <c r="EL3" s="56"/>
      <c r="EM3" s="56"/>
      <c r="EN3" s="56"/>
      <c r="EO3" s="56"/>
      <c r="EP3" s="56"/>
      <c r="EQ3" s="56"/>
      <c r="ER3" s="56"/>
      <c r="ES3" s="56"/>
      <c r="ET3" s="56"/>
      <c r="EU3" s="56"/>
      <c r="EV3" s="56"/>
      <c r="EW3" s="56"/>
      <c r="EX3" s="56"/>
      <c r="EY3" s="56"/>
      <c r="EZ3" s="56"/>
      <c r="FA3" s="56"/>
      <c r="FB3" s="56"/>
      <c r="FC3" s="56"/>
      <c r="FD3" s="56"/>
      <c r="FE3" s="56"/>
      <c r="FF3" s="56"/>
      <c r="FG3" s="56"/>
      <c r="FH3" s="56"/>
      <c r="FI3" s="56"/>
      <c r="FJ3" s="56"/>
      <c r="FK3" s="56"/>
      <c r="FL3" s="56"/>
      <c r="FM3" s="56"/>
      <c r="FN3" s="56"/>
      <c r="FO3" s="56"/>
      <c r="FP3" s="56"/>
      <c r="FQ3" s="56"/>
      <c r="FR3" s="56"/>
      <c r="FS3" s="56"/>
      <c r="FT3" s="56"/>
      <c r="FU3" s="56"/>
      <c r="FV3" s="56"/>
      <c r="FW3" s="56"/>
      <c r="FX3" s="56"/>
      <c r="FY3" s="56"/>
      <c r="FZ3" s="56"/>
      <c r="GA3" s="56"/>
      <c r="GB3" s="56"/>
      <c r="GC3" s="56"/>
      <c r="GD3" s="56"/>
      <c r="GE3" s="56"/>
      <c r="GF3" s="56"/>
      <c r="GG3" s="56"/>
      <c r="GH3" s="56"/>
      <c r="GI3" s="56"/>
      <c r="GJ3" s="56"/>
      <c r="GK3" s="56"/>
      <c r="GL3" s="56"/>
      <c r="GM3" s="56"/>
      <c r="GN3" s="56"/>
      <c r="GO3" s="56"/>
      <c r="GP3" s="56"/>
      <c r="GQ3" s="56"/>
      <c r="GR3" s="56"/>
      <c r="GS3" s="56"/>
      <c r="GT3" s="56"/>
      <c r="GU3" s="56"/>
      <c r="GV3" s="56"/>
      <c r="GW3" s="56"/>
      <c r="GX3" s="56"/>
      <c r="GY3" s="56"/>
      <c r="GZ3" s="56"/>
      <c r="HA3" s="56"/>
      <c r="HB3" s="56"/>
      <c r="HC3" s="56"/>
      <c r="HD3" s="56"/>
      <c r="HE3" s="56"/>
      <c r="HF3" s="56"/>
      <c r="HG3" s="56"/>
      <c r="HH3" s="56"/>
      <c r="HI3" s="56"/>
      <c r="HJ3" s="56"/>
      <c r="HK3" s="56"/>
      <c r="HL3" s="56"/>
      <c r="HM3" s="56"/>
      <c r="HN3" s="56"/>
      <c r="HO3" s="56"/>
      <c r="HP3" s="56"/>
      <c r="HQ3" s="56"/>
      <c r="HR3" s="56"/>
      <c r="HS3" s="56"/>
      <c r="HT3" s="56"/>
      <c r="HU3" s="56"/>
      <c r="HV3" s="56"/>
      <c r="HW3" s="56"/>
      <c r="HX3" s="56"/>
      <c r="HY3" s="56"/>
      <c r="HZ3" s="56"/>
      <c r="IA3" s="56"/>
      <c r="IB3" s="56"/>
      <c r="IC3" s="56"/>
      <c r="ID3" s="56"/>
      <c r="IE3" s="56"/>
      <c r="IF3" s="56"/>
      <c r="IG3" s="56"/>
      <c r="IH3" s="56"/>
      <c r="II3" s="56"/>
      <c r="IJ3" s="56"/>
      <c r="IK3" s="56"/>
      <c r="IL3" s="56"/>
      <c r="IM3" s="56"/>
      <c r="IN3" s="56"/>
      <c r="IO3" s="56"/>
      <c r="IP3" s="56"/>
      <c r="IQ3" s="56"/>
      <c r="IR3" s="56"/>
      <c r="IS3" s="56"/>
      <c r="IT3" s="56"/>
      <c r="IU3" s="56"/>
      <c r="IV3" s="56"/>
      <c r="IW3" s="56"/>
      <c r="IX3" s="56"/>
      <c r="IY3" s="56"/>
      <c r="IZ3" s="56"/>
      <c r="JA3" s="56"/>
      <c r="JB3" s="56"/>
      <c r="JC3" s="56"/>
      <c r="JD3" s="56"/>
      <c r="JE3" s="56"/>
      <c r="JF3" s="56"/>
      <c r="JG3" s="56"/>
      <c r="JH3" s="56"/>
      <c r="JI3" s="56"/>
      <c r="JJ3" s="56"/>
      <c r="JK3" s="56"/>
      <c r="JL3" s="56"/>
      <c r="JM3" s="56"/>
      <c r="JN3" s="56"/>
      <c r="JO3" s="56"/>
      <c r="JP3" s="56"/>
      <c r="JQ3" s="56"/>
      <c r="JR3" s="56"/>
      <c r="JS3" s="56"/>
      <c r="JT3" s="56"/>
      <c r="JU3" s="56"/>
      <c r="JV3" s="56"/>
      <c r="JW3" s="56"/>
      <c r="JX3" s="56"/>
      <c r="JY3" s="56"/>
      <c r="JZ3" s="56"/>
      <c r="KA3" s="56"/>
      <c r="KB3" s="56"/>
      <c r="KC3" s="56"/>
      <c r="KD3" s="56"/>
      <c r="KE3" s="56"/>
      <c r="KF3" s="56"/>
      <c r="KG3" s="56"/>
      <c r="KH3" s="56"/>
      <c r="KI3" s="56"/>
      <c r="KJ3" s="56"/>
      <c r="KK3" s="56"/>
      <c r="KL3" s="56"/>
      <c r="KM3" s="56"/>
      <c r="KN3" s="56"/>
      <c r="KO3" s="56"/>
      <c r="KP3" s="56"/>
      <c r="KQ3" s="56"/>
      <c r="KR3" s="56"/>
      <c r="KS3" s="56"/>
      <c r="KT3" s="56"/>
      <c r="KU3" s="56"/>
      <c r="KV3" s="56"/>
      <c r="KW3" s="56"/>
      <c r="KX3" s="56"/>
      <c r="KY3" s="56"/>
      <c r="KZ3" s="56"/>
      <c r="LA3" s="56"/>
      <c r="LB3" s="56"/>
      <c r="LC3" s="56"/>
      <c r="LD3" s="56"/>
      <c r="LE3" s="56"/>
      <c r="LF3" s="56"/>
      <c r="LG3" s="56"/>
      <c r="LH3" s="56"/>
      <c r="LI3" s="56"/>
      <c r="LJ3" s="56"/>
      <c r="LK3" s="56"/>
      <c r="LL3" s="56"/>
      <c r="LM3" s="56"/>
      <c r="LN3" s="56"/>
      <c r="LO3" s="56"/>
      <c r="LP3" s="56"/>
      <c r="LQ3" s="56"/>
      <c r="LR3" s="56"/>
      <c r="LS3" s="56"/>
      <c r="LT3" s="56"/>
      <c r="LU3" s="56"/>
      <c r="LV3" s="56"/>
      <c r="LW3" s="56"/>
      <c r="LX3" s="56"/>
      <c r="LY3" s="56"/>
      <c r="LZ3" s="56"/>
      <c r="MA3" s="56"/>
      <c r="MB3" s="56"/>
      <c r="MC3" s="56"/>
      <c r="MD3" s="56"/>
      <c r="ME3" s="56"/>
      <c r="MF3" s="56"/>
      <c r="MG3" s="56"/>
      <c r="MH3" s="56"/>
      <c r="MI3" s="56"/>
      <c r="MJ3" s="56"/>
      <c r="MK3" s="56"/>
      <c r="ML3" s="56"/>
      <c r="MM3" s="56"/>
      <c r="MN3" s="56"/>
      <c r="MO3" s="56"/>
      <c r="MP3" s="56"/>
      <c r="MQ3" s="56"/>
      <c r="MR3" s="56"/>
      <c r="MS3" s="56"/>
      <c r="MT3" s="56"/>
      <c r="MU3" s="56"/>
      <c r="MV3" s="56"/>
      <c r="MW3" s="56"/>
      <c r="MX3" s="56"/>
      <c r="MY3" s="56"/>
      <c r="MZ3" s="56"/>
      <c r="NA3" s="56"/>
      <c r="NB3" s="56"/>
      <c r="NC3" s="56"/>
      <c r="ND3" s="56"/>
      <c r="NE3" s="56"/>
      <c r="NF3" s="56"/>
      <c r="NG3" s="56"/>
      <c r="NH3" s="56"/>
      <c r="NI3" s="57"/>
    </row>
    <row r="4" spans="1:374">
      <c r="A4" s="44" t="s">
        <v>9</v>
      </c>
      <c r="B4" s="45">
        <v>40175</v>
      </c>
      <c r="C4" s="28"/>
      <c r="D4" s="30"/>
      <c r="E4" s="30"/>
      <c r="F4" s="32"/>
      <c r="G4" s="32"/>
      <c r="H4" s="32"/>
      <c r="I4" s="32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6"/>
      <c r="EH4" s="56"/>
      <c r="EI4" s="56"/>
      <c r="EJ4" s="56"/>
      <c r="EK4" s="56"/>
      <c r="EL4" s="56"/>
      <c r="EM4" s="56"/>
      <c r="EN4" s="56"/>
      <c r="EO4" s="56"/>
      <c r="EP4" s="56"/>
      <c r="EQ4" s="56"/>
      <c r="ER4" s="56"/>
      <c r="ES4" s="56"/>
      <c r="ET4" s="56"/>
      <c r="EU4" s="56"/>
      <c r="EV4" s="56"/>
      <c r="EW4" s="56"/>
      <c r="EX4" s="56"/>
      <c r="EY4" s="56"/>
      <c r="EZ4" s="56"/>
      <c r="FA4" s="56"/>
      <c r="FB4" s="56"/>
      <c r="FC4" s="56"/>
      <c r="FD4" s="56"/>
      <c r="FE4" s="56"/>
      <c r="FF4" s="56"/>
      <c r="FG4" s="56"/>
      <c r="FH4" s="56"/>
      <c r="FI4" s="56"/>
      <c r="FJ4" s="56"/>
      <c r="FK4" s="56"/>
      <c r="FL4" s="56"/>
      <c r="FM4" s="56"/>
      <c r="FN4" s="56"/>
      <c r="FO4" s="56"/>
      <c r="FP4" s="56"/>
      <c r="FQ4" s="56"/>
      <c r="FR4" s="56"/>
      <c r="FS4" s="56"/>
      <c r="FT4" s="56"/>
      <c r="FU4" s="56"/>
      <c r="FV4" s="56"/>
      <c r="FW4" s="56"/>
      <c r="FX4" s="56"/>
      <c r="FY4" s="56"/>
      <c r="FZ4" s="56"/>
      <c r="GA4" s="56"/>
      <c r="GB4" s="56"/>
      <c r="GC4" s="56"/>
      <c r="GD4" s="56"/>
      <c r="GE4" s="56"/>
      <c r="GF4" s="56"/>
      <c r="GG4" s="56"/>
      <c r="GH4" s="56"/>
      <c r="GI4" s="56"/>
      <c r="GJ4" s="56"/>
      <c r="GK4" s="56"/>
      <c r="GL4" s="56"/>
      <c r="GM4" s="56"/>
      <c r="GN4" s="56"/>
      <c r="GO4" s="56"/>
      <c r="GP4" s="56"/>
      <c r="GQ4" s="56"/>
      <c r="GR4" s="56"/>
      <c r="GS4" s="56"/>
      <c r="GT4" s="56"/>
      <c r="GU4" s="56"/>
      <c r="GV4" s="56"/>
      <c r="GW4" s="56"/>
      <c r="GX4" s="56"/>
      <c r="GY4" s="56"/>
      <c r="GZ4" s="56"/>
      <c r="HA4" s="56"/>
      <c r="HB4" s="56"/>
      <c r="HC4" s="56"/>
      <c r="HD4" s="56"/>
      <c r="HE4" s="56"/>
      <c r="HF4" s="56"/>
      <c r="HG4" s="56"/>
      <c r="HH4" s="56"/>
      <c r="HI4" s="56"/>
      <c r="HJ4" s="56"/>
      <c r="HK4" s="56"/>
      <c r="HL4" s="56"/>
      <c r="HM4" s="56"/>
      <c r="HN4" s="56"/>
      <c r="HO4" s="56"/>
      <c r="HP4" s="56"/>
      <c r="HQ4" s="56"/>
      <c r="HR4" s="56"/>
      <c r="HS4" s="56"/>
      <c r="HT4" s="56"/>
      <c r="HU4" s="56"/>
      <c r="HV4" s="56"/>
      <c r="HW4" s="56"/>
      <c r="HX4" s="56"/>
      <c r="HY4" s="56"/>
      <c r="HZ4" s="56"/>
      <c r="IA4" s="56"/>
      <c r="IB4" s="56"/>
      <c r="IC4" s="56"/>
      <c r="ID4" s="56"/>
      <c r="IE4" s="56"/>
      <c r="IF4" s="56"/>
      <c r="IG4" s="56"/>
      <c r="IH4" s="56"/>
      <c r="II4" s="56"/>
      <c r="IJ4" s="56"/>
      <c r="IK4" s="56"/>
      <c r="IL4" s="56"/>
      <c r="IM4" s="56"/>
      <c r="IN4" s="56"/>
      <c r="IO4" s="56"/>
      <c r="IP4" s="56"/>
      <c r="IQ4" s="56"/>
      <c r="IR4" s="56"/>
      <c r="IS4" s="56"/>
      <c r="IT4" s="56"/>
      <c r="IU4" s="56"/>
      <c r="IV4" s="56"/>
      <c r="IW4" s="56"/>
      <c r="IX4" s="56"/>
      <c r="IY4" s="56"/>
      <c r="IZ4" s="56"/>
      <c r="JA4" s="56"/>
      <c r="JB4" s="56"/>
      <c r="JC4" s="56"/>
      <c r="JD4" s="56"/>
      <c r="JE4" s="56"/>
      <c r="JF4" s="56"/>
      <c r="JG4" s="56"/>
      <c r="JH4" s="56"/>
      <c r="JI4" s="56"/>
      <c r="JJ4" s="56"/>
      <c r="JK4" s="56"/>
      <c r="JL4" s="56"/>
      <c r="JM4" s="56"/>
      <c r="JN4" s="56"/>
      <c r="JO4" s="56"/>
      <c r="JP4" s="56"/>
      <c r="JQ4" s="56"/>
      <c r="JR4" s="56"/>
      <c r="JS4" s="56"/>
      <c r="JT4" s="56"/>
      <c r="JU4" s="56"/>
      <c r="JV4" s="56"/>
      <c r="JW4" s="56"/>
      <c r="JX4" s="56"/>
      <c r="JY4" s="56"/>
      <c r="JZ4" s="56"/>
      <c r="KA4" s="56"/>
      <c r="KB4" s="56"/>
      <c r="KC4" s="56"/>
      <c r="KD4" s="56"/>
      <c r="KE4" s="56"/>
      <c r="KF4" s="56"/>
      <c r="KG4" s="56"/>
      <c r="KH4" s="56"/>
      <c r="KI4" s="56"/>
      <c r="KJ4" s="56"/>
      <c r="KK4" s="56"/>
      <c r="KL4" s="56"/>
      <c r="KM4" s="56"/>
      <c r="KN4" s="56"/>
      <c r="KO4" s="56"/>
      <c r="KP4" s="56"/>
      <c r="KQ4" s="56"/>
      <c r="KR4" s="56"/>
      <c r="KS4" s="56"/>
      <c r="KT4" s="56"/>
      <c r="KU4" s="56"/>
      <c r="KV4" s="56"/>
      <c r="KW4" s="56"/>
      <c r="KX4" s="56"/>
      <c r="KY4" s="56"/>
      <c r="KZ4" s="56"/>
      <c r="LA4" s="56"/>
      <c r="LB4" s="56"/>
      <c r="LC4" s="56"/>
      <c r="LD4" s="56"/>
      <c r="LE4" s="56"/>
      <c r="LF4" s="56"/>
      <c r="LG4" s="56"/>
      <c r="LH4" s="56"/>
      <c r="LI4" s="56"/>
      <c r="LJ4" s="56"/>
      <c r="LK4" s="56"/>
      <c r="LL4" s="56"/>
      <c r="LM4" s="56"/>
      <c r="LN4" s="56"/>
      <c r="LO4" s="56"/>
      <c r="LP4" s="56"/>
      <c r="LQ4" s="56"/>
      <c r="LR4" s="56"/>
      <c r="LS4" s="56"/>
      <c r="LT4" s="56"/>
      <c r="LU4" s="56"/>
      <c r="LV4" s="56"/>
      <c r="LW4" s="56"/>
      <c r="LX4" s="56"/>
      <c r="LY4" s="56"/>
      <c r="LZ4" s="56"/>
      <c r="MA4" s="56"/>
      <c r="MB4" s="56"/>
      <c r="MC4" s="56"/>
      <c r="MD4" s="56"/>
      <c r="ME4" s="56"/>
      <c r="MF4" s="56"/>
      <c r="MG4" s="56"/>
      <c r="MH4" s="56"/>
      <c r="MI4" s="56"/>
      <c r="MJ4" s="56"/>
      <c r="MK4" s="56"/>
      <c r="ML4" s="56"/>
      <c r="MM4" s="56"/>
      <c r="MN4" s="56"/>
      <c r="MO4" s="56"/>
      <c r="MP4" s="56"/>
      <c r="MQ4" s="56"/>
      <c r="MR4" s="56"/>
      <c r="MS4" s="56"/>
      <c r="MT4" s="56"/>
      <c r="MU4" s="56"/>
      <c r="MV4" s="56"/>
      <c r="MW4" s="56"/>
      <c r="MX4" s="56"/>
      <c r="MY4" s="56"/>
      <c r="MZ4" s="56"/>
      <c r="NA4" s="56"/>
      <c r="NB4" s="56"/>
      <c r="NC4" s="56"/>
      <c r="ND4" s="56"/>
      <c r="NE4" s="56"/>
      <c r="NF4" s="56"/>
      <c r="NG4" s="56"/>
      <c r="NH4" s="56"/>
      <c r="NI4" s="57"/>
    </row>
    <row r="5" spans="1:374" ht="60.75" customHeight="1">
      <c r="A5" s="24" t="s">
        <v>0</v>
      </c>
      <c r="B5" s="25" t="s">
        <v>18</v>
      </c>
      <c r="C5" s="26" t="s">
        <v>3</v>
      </c>
      <c r="D5" s="26" t="s">
        <v>5</v>
      </c>
      <c r="E5" s="26" t="s">
        <v>4</v>
      </c>
      <c r="F5" s="21" t="s">
        <v>21</v>
      </c>
      <c r="G5" s="27" t="s">
        <v>22</v>
      </c>
      <c r="H5" s="22" t="s">
        <v>23</v>
      </c>
      <c r="I5" s="23" t="s">
        <v>24</v>
      </c>
      <c r="J5" s="58">
        <f>J1</f>
        <v>40056</v>
      </c>
      <c r="K5" s="59">
        <f t="shared" ref="K5:BV5" si="195">K1</f>
        <v>40057</v>
      </c>
      <c r="L5" s="59">
        <f t="shared" si="195"/>
        <v>40058</v>
      </c>
      <c r="M5" s="59">
        <f t="shared" si="195"/>
        <v>40059</v>
      </c>
      <c r="N5" s="59">
        <f t="shared" si="195"/>
        <v>40060</v>
      </c>
      <c r="O5" s="59">
        <f t="shared" si="195"/>
        <v>40061</v>
      </c>
      <c r="P5" s="60">
        <f t="shared" si="195"/>
        <v>40062</v>
      </c>
      <c r="Q5" s="58">
        <f t="shared" si="195"/>
        <v>40063</v>
      </c>
      <c r="R5" s="59">
        <f t="shared" si="195"/>
        <v>40064</v>
      </c>
      <c r="S5" s="59">
        <f t="shared" si="195"/>
        <v>40065</v>
      </c>
      <c r="T5" s="59">
        <f t="shared" si="195"/>
        <v>40066</v>
      </c>
      <c r="U5" s="59">
        <f t="shared" si="195"/>
        <v>40067</v>
      </c>
      <c r="V5" s="59">
        <f t="shared" si="195"/>
        <v>40068</v>
      </c>
      <c r="W5" s="60">
        <f t="shared" si="195"/>
        <v>40069</v>
      </c>
      <c r="X5" s="58">
        <f t="shared" si="195"/>
        <v>40070</v>
      </c>
      <c r="Y5" s="59">
        <f t="shared" si="195"/>
        <v>40071</v>
      </c>
      <c r="Z5" s="59">
        <f t="shared" si="195"/>
        <v>40072</v>
      </c>
      <c r="AA5" s="59">
        <f t="shared" si="195"/>
        <v>40073</v>
      </c>
      <c r="AB5" s="59">
        <f t="shared" si="195"/>
        <v>40074</v>
      </c>
      <c r="AC5" s="59">
        <f t="shared" si="195"/>
        <v>40075</v>
      </c>
      <c r="AD5" s="60">
        <f t="shared" si="195"/>
        <v>40076</v>
      </c>
      <c r="AE5" s="58">
        <f t="shared" si="195"/>
        <v>40077</v>
      </c>
      <c r="AF5" s="59">
        <f t="shared" si="195"/>
        <v>40078</v>
      </c>
      <c r="AG5" s="59">
        <f t="shared" si="195"/>
        <v>40079</v>
      </c>
      <c r="AH5" s="59">
        <f t="shared" si="195"/>
        <v>40080</v>
      </c>
      <c r="AI5" s="59">
        <f t="shared" si="195"/>
        <v>40081</v>
      </c>
      <c r="AJ5" s="59">
        <f t="shared" si="195"/>
        <v>40082</v>
      </c>
      <c r="AK5" s="60">
        <f t="shared" si="195"/>
        <v>40083</v>
      </c>
      <c r="AL5" s="58">
        <f t="shared" si="195"/>
        <v>40084</v>
      </c>
      <c r="AM5" s="59">
        <f t="shared" si="195"/>
        <v>40085</v>
      </c>
      <c r="AN5" s="59">
        <f t="shared" si="195"/>
        <v>40086</v>
      </c>
      <c r="AO5" s="59">
        <f t="shared" si="195"/>
        <v>40087</v>
      </c>
      <c r="AP5" s="59">
        <f t="shared" si="195"/>
        <v>40088</v>
      </c>
      <c r="AQ5" s="59">
        <f t="shared" si="195"/>
        <v>40089</v>
      </c>
      <c r="AR5" s="60">
        <f t="shared" si="195"/>
        <v>40090</v>
      </c>
      <c r="AS5" s="58">
        <f t="shared" si="195"/>
        <v>40091</v>
      </c>
      <c r="AT5" s="59">
        <f t="shared" si="195"/>
        <v>40092</v>
      </c>
      <c r="AU5" s="59">
        <f t="shared" si="195"/>
        <v>40093</v>
      </c>
      <c r="AV5" s="59">
        <f t="shared" si="195"/>
        <v>40094</v>
      </c>
      <c r="AW5" s="59">
        <f t="shared" si="195"/>
        <v>40095</v>
      </c>
      <c r="AX5" s="59">
        <f t="shared" si="195"/>
        <v>40096</v>
      </c>
      <c r="AY5" s="60">
        <f t="shared" si="195"/>
        <v>40097</v>
      </c>
      <c r="AZ5" s="58">
        <f t="shared" si="195"/>
        <v>40098</v>
      </c>
      <c r="BA5" s="59">
        <f t="shared" si="195"/>
        <v>40099</v>
      </c>
      <c r="BB5" s="59">
        <f t="shared" si="195"/>
        <v>40100</v>
      </c>
      <c r="BC5" s="59">
        <f t="shared" si="195"/>
        <v>40101</v>
      </c>
      <c r="BD5" s="59">
        <f t="shared" si="195"/>
        <v>40102</v>
      </c>
      <c r="BE5" s="59">
        <f t="shared" si="195"/>
        <v>40103</v>
      </c>
      <c r="BF5" s="60">
        <f t="shared" si="195"/>
        <v>40104</v>
      </c>
      <c r="BG5" s="58">
        <f t="shared" si="195"/>
        <v>40105</v>
      </c>
      <c r="BH5" s="59">
        <f t="shared" si="195"/>
        <v>40106</v>
      </c>
      <c r="BI5" s="59">
        <f t="shared" si="195"/>
        <v>40107</v>
      </c>
      <c r="BJ5" s="59">
        <f t="shared" si="195"/>
        <v>40108</v>
      </c>
      <c r="BK5" s="59">
        <f t="shared" si="195"/>
        <v>40109</v>
      </c>
      <c r="BL5" s="59">
        <f t="shared" si="195"/>
        <v>40110</v>
      </c>
      <c r="BM5" s="60">
        <f t="shared" si="195"/>
        <v>40111</v>
      </c>
      <c r="BN5" s="58">
        <f t="shared" si="195"/>
        <v>40112</v>
      </c>
      <c r="BO5" s="59">
        <f t="shared" si="195"/>
        <v>40113</v>
      </c>
      <c r="BP5" s="59">
        <f t="shared" si="195"/>
        <v>40114</v>
      </c>
      <c r="BQ5" s="59">
        <f t="shared" si="195"/>
        <v>40115</v>
      </c>
      <c r="BR5" s="59">
        <f t="shared" si="195"/>
        <v>40116</v>
      </c>
      <c r="BS5" s="59">
        <f t="shared" si="195"/>
        <v>40117</v>
      </c>
      <c r="BT5" s="60">
        <f t="shared" si="195"/>
        <v>40118</v>
      </c>
      <c r="BU5" s="58">
        <f t="shared" si="195"/>
        <v>40119</v>
      </c>
      <c r="BV5" s="59">
        <f t="shared" si="195"/>
        <v>40120</v>
      </c>
      <c r="BW5" s="59">
        <f t="shared" ref="BW5:EH5" si="196">BW1</f>
        <v>40121</v>
      </c>
      <c r="BX5" s="59">
        <f t="shared" si="196"/>
        <v>40122</v>
      </c>
      <c r="BY5" s="59">
        <f t="shared" si="196"/>
        <v>40123</v>
      </c>
      <c r="BZ5" s="59">
        <f t="shared" si="196"/>
        <v>40124</v>
      </c>
      <c r="CA5" s="60">
        <f t="shared" si="196"/>
        <v>40125</v>
      </c>
      <c r="CB5" s="58">
        <f t="shared" si="196"/>
        <v>40126</v>
      </c>
      <c r="CC5" s="59">
        <f t="shared" si="196"/>
        <v>40127</v>
      </c>
      <c r="CD5" s="59">
        <f t="shared" si="196"/>
        <v>40128</v>
      </c>
      <c r="CE5" s="59">
        <f t="shared" si="196"/>
        <v>40129</v>
      </c>
      <c r="CF5" s="59">
        <f t="shared" si="196"/>
        <v>40130</v>
      </c>
      <c r="CG5" s="59">
        <f t="shared" si="196"/>
        <v>40131</v>
      </c>
      <c r="CH5" s="60">
        <f t="shared" si="196"/>
        <v>40132</v>
      </c>
      <c r="CI5" s="58">
        <f t="shared" si="196"/>
        <v>40133</v>
      </c>
      <c r="CJ5" s="59">
        <f t="shared" si="196"/>
        <v>40134</v>
      </c>
      <c r="CK5" s="59">
        <f t="shared" si="196"/>
        <v>40135</v>
      </c>
      <c r="CL5" s="59">
        <f t="shared" si="196"/>
        <v>40136</v>
      </c>
      <c r="CM5" s="59">
        <f t="shared" si="196"/>
        <v>40137</v>
      </c>
      <c r="CN5" s="59">
        <f t="shared" si="196"/>
        <v>40138</v>
      </c>
      <c r="CO5" s="60">
        <f t="shared" si="196"/>
        <v>40139</v>
      </c>
      <c r="CP5" s="58">
        <f t="shared" si="196"/>
        <v>40140</v>
      </c>
      <c r="CQ5" s="59">
        <f t="shared" si="196"/>
        <v>40141</v>
      </c>
      <c r="CR5" s="59">
        <f t="shared" si="196"/>
        <v>40142</v>
      </c>
      <c r="CS5" s="59">
        <f t="shared" si="196"/>
        <v>40143</v>
      </c>
      <c r="CT5" s="59">
        <f t="shared" si="196"/>
        <v>40144</v>
      </c>
      <c r="CU5" s="59">
        <f t="shared" si="196"/>
        <v>40145</v>
      </c>
      <c r="CV5" s="60">
        <f t="shared" si="196"/>
        <v>40146</v>
      </c>
      <c r="CW5" s="58">
        <f t="shared" si="196"/>
        <v>40147</v>
      </c>
      <c r="CX5" s="59">
        <f t="shared" si="196"/>
        <v>40148</v>
      </c>
      <c r="CY5" s="59">
        <f t="shared" si="196"/>
        <v>40149</v>
      </c>
      <c r="CZ5" s="59">
        <f t="shared" si="196"/>
        <v>40150</v>
      </c>
      <c r="DA5" s="59">
        <f t="shared" si="196"/>
        <v>40151</v>
      </c>
      <c r="DB5" s="59">
        <f t="shared" si="196"/>
        <v>40152</v>
      </c>
      <c r="DC5" s="60">
        <f t="shared" si="196"/>
        <v>40153</v>
      </c>
      <c r="DD5" s="58">
        <f t="shared" si="196"/>
        <v>40154</v>
      </c>
      <c r="DE5" s="59">
        <f t="shared" si="196"/>
        <v>40155</v>
      </c>
      <c r="DF5" s="59">
        <f t="shared" si="196"/>
        <v>40156</v>
      </c>
      <c r="DG5" s="59">
        <f t="shared" si="196"/>
        <v>40157</v>
      </c>
      <c r="DH5" s="59">
        <f t="shared" si="196"/>
        <v>40158</v>
      </c>
      <c r="DI5" s="59">
        <f t="shared" si="196"/>
        <v>40159</v>
      </c>
      <c r="DJ5" s="60">
        <f t="shared" si="196"/>
        <v>40160</v>
      </c>
      <c r="DK5" s="58">
        <f t="shared" si="196"/>
        <v>40161</v>
      </c>
      <c r="DL5" s="59">
        <f t="shared" si="196"/>
        <v>40162</v>
      </c>
      <c r="DM5" s="59">
        <f t="shared" si="196"/>
        <v>40163</v>
      </c>
      <c r="DN5" s="59">
        <f t="shared" si="196"/>
        <v>40164</v>
      </c>
      <c r="DO5" s="59">
        <f t="shared" si="196"/>
        <v>40165</v>
      </c>
      <c r="DP5" s="59">
        <f t="shared" si="196"/>
        <v>40166</v>
      </c>
      <c r="DQ5" s="60">
        <f t="shared" si="196"/>
        <v>40167</v>
      </c>
      <c r="DR5" s="58">
        <f t="shared" si="196"/>
        <v>40168</v>
      </c>
      <c r="DS5" s="59">
        <f t="shared" si="196"/>
        <v>40169</v>
      </c>
      <c r="DT5" s="59">
        <f t="shared" si="196"/>
        <v>40170</v>
      </c>
      <c r="DU5" s="59">
        <f t="shared" si="196"/>
        <v>40171</v>
      </c>
      <c r="DV5" s="59">
        <f t="shared" si="196"/>
        <v>40172</v>
      </c>
      <c r="DW5" s="59">
        <f t="shared" si="196"/>
        <v>40173</v>
      </c>
      <c r="DX5" s="60">
        <f t="shared" si="196"/>
        <v>40174</v>
      </c>
      <c r="DY5" s="58">
        <f t="shared" si="196"/>
        <v>40175</v>
      </c>
      <c r="DZ5" s="59">
        <f t="shared" si="196"/>
        <v>40176</v>
      </c>
      <c r="EA5" s="59">
        <f t="shared" si="196"/>
        <v>40177</v>
      </c>
      <c r="EB5" s="59">
        <f t="shared" si="196"/>
        <v>40178</v>
      </c>
      <c r="EC5" s="59">
        <f t="shared" si="196"/>
        <v>40179</v>
      </c>
      <c r="ED5" s="59">
        <f t="shared" si="196"/>
        <v>40180</v>
      </c>
      <c r="EE5" s="60">
        <f t="shared" si="196"/>
        <v>40181</v>
      </c>
      <c r="EF5" s="58">
        <f t="shared" si="196"/>
        <v>40182</v>
      </c>
      <c r="EG5" s="59">
        <f t="shared" si="196"/>
        <v>40183</v>
      </c>
      <c r="EH5" s="59">
        <f t="shared" si="196"/>
        <v>40184</v>
      </c>
      <c r="EI5" s="59">
        <f t="shared" ref="EI5:GT5" si="197">EI1</f>
        <v>40185</v>
      </c>
      <c r="EJ5" s="59">
        <f t="shared" si="197"/>
        <v>40186</v>
      </c>
      <c r="EK5" s="59">
        <f t="shared" si="197"/>
        <v>40187</v>
      </c>
      <c r="EL5" s="60">
        <f t="shared" si="197"/>
        <v>40188</v>
      </c>
      <c r="EM5" s="58">
        <f t="shared" si="197"/>
        <v>40189</v>
      </c>
      <c r="EN5" s="59">
        <f t="shared" si="197"/>
        <v>40190</v>
      </c>
      <c r="EO5" s="59">
        <f t="shared" si="197"/>
        <v>40191</v>
      </c>
      <c r="EP5" s="59">
        <f t="shared" si="197"/>
        <v>40192</v>
      </c>
      <c r="EQ5" s="59">
        <f t="shared" si="197"/>
        <v>40193</v>
      </c>
      <c r="ER5" s="59">
        <f t="shared" si="197"/>
        <v>40194</v>
      </c>
      <c r="ES5" s="60">
        <f t="shared" si="197"/>
        <v>40195</v>
      </c>
      <c r="ET5" s="58">
        <f t="shared" si="197"/>
        <v>40196</v>
      </c>
      <c r="EU5" s="59">
        <f t="shared" si="197"/>
        <v>40197</v>
      </c>
      <c r="EV5" s="59">
        <f t="shared" si="197"/>
        <v>40198</v>
      </c>
      <c r="EW5" s="59">
        <f t="shared" si="197"/>
        <v>40199</v>
      </c>
      <c r="EX5" s="59">
        <f t="shared" si="197"/>
        <v>40200</v>
      </c>
      <c r="EY5" s="59">
        <f t="shared" si="197"/>
        <v>40201</v>
      </c>
      <c r="EZ5" s="60">
        <f t="shared" si="197"/>
        <v>40202</v>
      </c>
      <c r="FA5" s="58">
        <f t="shared" si="197"/>
        <v>40203</v>
      </c>
      <c r="FB5" s="59">
        <f t="shared" si="197"/>
        <v>40204</v>
      </c>
      <c r="FC5" s="59">
        <f t="shared" si="197"/>
        <v>40205</v>
      </c>
      <c r="FD5" s="59">
        <f t="shared" si="197"/>
        <v>40206</v>
      </c>
      <c r="FE5" s="59">
        <f t="shared" si="197"/>
        <v>40207</v>
      </c>
      <c r="FF5" s="59">
        <f t="shared" si="197"/>
        <v>40208</v>
      </c>
      <c r="FG5" s="60">
        <f t="shared" si="197"/>
        <v>40209</v>
      </c>
      <c r="FH5" s="58">
        <f t="shared" si="197"/>
        <v>40210</v>
      </c>
      <c r="FI5" s="59">
        <f t="shared" si="197"/>
        <v>40211</v>
      </c>
      <c r="FJ5" s="59">
        <f t="shared" si="197"/>
        <v>40212</v>
      </c>
      <c r="FK5" s="59">
        <f t="shared" si="197"/>
        <v>40213</v>
      </c>
      <c r="FL5" s="59">
        <f t="shared" si="197"/>
        <v>40214</v>
      </c>
      <c r="FM5" s="59">
        <f t="shared" si="197"/>
        <v>40215</v>
      </c>
      <c r="FN5" s="60">
        <f t="shared" si="197"/>
        <v>40216</v>
      </c>
      <c r="FO5" s="58">
        <f t="shared" si="197"/>
        <v>40217</v>
      </c>
      <c r="FP5" s="59">
        <f t="shared" si="197"/>
        <v>40218</v>
      </c>
      <c r="FQ5" s="59">
        <f t="shared" si="197"/>
        <v>40219</v>
      </c>
      <c r="FR5" s="59">
        <f t="shared" si="197"/>
        <v>40220</v>
      </c>
      <c r="FS5" s="59">
        <f t="shared" si="197"/>
        <v>40221</v>
      </c>
      <c r="FT5" s="59">
        <f t="shared" si="197"/>
        <v>40222</v>
      </c>
      <c r="FU5" s="60">
        <f t="shared" si="197"/>
        <v>40223</v>
      </c>
      <c r="FV5" s="58">
        <f t="shared" si="197"/>
        <v>40224</v>
      </c>
      <c r="FW5" s="59">
        <f t="shared" si="197"/>
        <v>40225</v>
      </c>
      <c r="FX5" s="59">
        <f t="shared" si="197"/>
        <v>40226</v>
      </c>
      <c r="FY5" s="59">
        <f t="shared" si="197"/>
        <v>40227</v>
      </c>
      <c r="FZ5" s="59">
        <f t="shared" si="197"/>
        <v>40228</v>
      </c>
      <c r="GA5" s="59">
        <f t="shared" si="197"/>
        <v>40229</v>
      </c>
      <c r="GB5" s="60">
        <f t="shared" si="197"/>
        <v>40230</v>
      </c>
      <c r="GC5" s="58">
        <f t="shared" si="197"/>
        <v>40231</v>
      </c>
      <c r="GD5" s="59">
        <f t="shared" si="197"/>
        <v>40232</v>
      </c>
      <c r="GE5" s="59">
        <f t="shared" si="197"/>
        <v>40233</v>
      </c>
      <c r="GF5" s="59">
        <f t="shared" si="197"/>
        <v>40234</v>
      </c>
      <c r="GG5" s="59">
        <f t="shared" si="197"/>
        <v>40235</v>
      </c>
      <c r="GH5" s="59">
        <f t="shared" si="197"/>
        <v>40236</v>
      </c>
      <c r="GI5" s="60">
        <f t="shared" si="197"/>
        <v>40237</v>
      </c>
      <c r="GJ5" s="58">
        <f t="shared" si="197"/>
        <v>40238</v>
      </c>
      <c r="GK5" s="59">
        <f t="shared" si="197"/>
        <v>40239</v>
      </c>
      <c r="GL5" s="59">
        <f t="shared" si="197"/>
        <v>40240</v>
      </c>
      <c r="GM5" s="59">
        <f t="shared" si="197"/>
        <v>40241</v>
      </c>
      <c r="GN5" s="59">
        <f t="shared" si="197"/>
        <v>40242</v>
      </c>
      <c r="GO5" s="59">
        <f t="shared" si="197"/>
        <v>40243</v>
      </c>
      <c r="GP5" s="60">
        <f t="shared" si="197"/>
        <v>40244</v>
      </c>
      <c r="GQ5" s="58">
        <f t="shared" si="197"/>
        <v>40245</v>
      </c>
      <c r="GR5" s="59">
        <f t="shared" si="197"/>
        <v>40246</v>
      </c>
      <c r="GS5" s="59">
        <f t="shared" si="197"/>
        <v>40247</v>
      </c>
      <c r="GT5" s="59">
        <f t="shared" si="197"/>
        <v>40248</v>
      </c>
      <c r="GU5" s="59">
        <f t="shared" ref="GU5:JF5" si="198">GU1</f>
        <v>40249</v>
      </c>
      <c r="GV5" s="59">
        <f t="shared" si="198"/>
        <v>40250</v>
      </c>
      <c r="GW5" s="60">
        <f t="shared" si="198"/>
        <v>40251</v>
      </c>
      <c r="GX5" s="58">
        <f t="shared" si="198"/>
        <v>40252</v>
      </c>
      <c r="GY5" s="59">
        <f t="shared" si="198"/>
        <v>40253</v>
      </c>
      <c r="GZ5" s="59">
        <f t="shared" si="198"/>
        <v>40254</v>
      </c>
      <c r="HA5" s="59">
        <f t="shared" si="198"/>
        <v>40255</v>
      </c>
      <c r="HB5" s="59">
        <f t="shared" si="198"/>
        <v>40256</v>
      </c>
      <c r="HC5" s="59">
        <f t="shared" si="198"/>
        <v>40257</v>
      </c>
      <c r="HD5" s="60">
        <f t="shared" si="198"/>
        <v>40258</v>
      </c>
      <c r="HE5" s="58">
        <f t="shared" si="198"/>
        <v>40259</v>
      </c>
      <c r="HF5" s="59">
        <f t="shared" si="198"/>
        <v>40260</v>
      </c>
      <c r="HG5" s="59">
        <f t="shared" si="198"/>
        <v>40261</v>
      </c>
      <c r="HH5" s="59">
        <f t="shared" si="198"/>
        <v>40262</v>
      </c>
      <c r="HI5" s="59">
        <f t="shared" si="198"/>
        <v>40263</v>
      </c>
      <c r="HJ5" s="59">
        <f t="shared" si="198"/>
        <v>40264</v>
      </c>
      <c r="HK5" s="60">
        <f t="shared" si="198"/>
        <v>40265</v>
      </c>
      <c r="HL5" s="58">
        <f t="shared" si="198"/>
        <v>40266</v>
      </c>
      <c r="HM5" s="59">
        <f t="shared" si="198"/>
        <v>40267</v>
      </c>
      <c r="HN5" s="59">
        <f t="shared" si="198"/>
        <v>40268</v>
      </c>
      <c r="HO5" s="59">
        <f t="shared" si="198"/>
        <v>40269</v>
      </c>
      <c r="HP5" s="59">
        <f t="shared" si="198"/>
        <v>40270</v>
      </c>
      <c r="HQ5" s="59">
        <f t="shared" si="198"/>
        <v>40271</v>
      </c>
      <c r="HR5" s="60">
        <f t="shared" si="198"/>
        <v>40272</v>
      </c>
      <c r="HS5" s="58">
        <f t="shared" si="198"/>
        <v>40273</v>
      </c>
      <c r="HT5" s="59">
        <f t="shared" si="198"/>
        <v>40274</v>
      </c>
      <c r="HU5" s="59">
        <f t="shared" si="198"/>
        <v>40275</v>
      </c>
      <c r="HV5" s="59">
        <f t="shared" si="198"/>
        <v>40276</v>
      </c>
      <c r="HW5" s="59">
        <f t="shared" si="198"/>
        <v>40277</v>
      </c>
      <c r="HX5" s="59">
        <f t="shared" si="198"/>
        <v>40278</v>
      </c>
      <c r="HY5" s="60">
        <f t="shared" si="198"/>
        <v>40279</v>
      </c>
      <c r="HZ5" s="58">
        <f t="shared" si="198"/>
        <v>40280</v>
      </c>
      <c r="IA5" s="59">
        <f t="shared" si="198"/>
        <v>40281</v>
      </c>
      <c r="IB5" s="59">
        <f t="shared" si="198"/>
        <v>40282</v>
      </c>
      <c r="IC5" s="59">
        <f t="shared" si="198"/>
        <v>40283</v>
      </c>
      <c r="ID5" s="59">
        <f t="shared" si="198"/>
        <v>40284</v>
      </c>
      <c r="IE5" s="59">
        <f t="shared" si="198"/>
        <v>40285</v>
      </c>
      <c r="IF5" s="60">
        <f t="shared" si="198"/>
        <v>40286</v>
      </c>
      <c r="IG5" s="58">
        <f t="shared" si="198"/>
        <v>40287</v>
      </c>
      <c r="IH5" s="59">
        <f t="shared" si="198"/>
        <v>40288</v>
      </c>
      <c r="II5" s="59">
        <f t="shared" si="198"/>
        <v>40289</v>
      </c>
      <c r="IJ5" s="59">
        <f t="shared" si="198"/>
        <v>40290</v>
      </c>
      <c r="IK5" s="59">
        <f t="shared" si="198"/>
        <v>40291</v>
      </c>
      <c r="IL5" s="59">
        <f t="shared" si="198"/>
        <v>40292</v>
      </c>
      <c r="IM5" s="60">
        <f t="shared" si="198"/>
        <v>40293</v>
      </c>
      <c r="IN5" s="58">
        <f t="shared" si="198"/>
        <v>40294</v>
      </c>
      <c r="IO5" s="59">
        <f t="shared" si="198"/>
        <v>40295</v>
      </c>
      <c r="IP5" s="59">
        <f t="shared" si="198"/>
        <v>40296</v>
      </c>
      <c r="IQ5" s="59">
        <f t="shared" si="198"/>
        <v>40297</v>
      </c>
      <c r="IR5" s="59">
        <f t="shared" si="198"/>
        <v>40298</v>
      </c>
      <c r="IS5" s="59">
        <f t="shared" si="198"/>
        <v>40299</v>
      </c>
      <c r="IT5" s="60">
        <f t="shared" si="198"/>
        <v>40300</v>
      </c>
      <c r="IU5" s="58">
        <f t="shared" si="198"/>
        <v>40301</v>
      </c>
      <c r="IV5" s="59">
        <f t="shared" si="198"/>
        <v>40302</v>
      </c>
      <c r="IW5" s="59">
        <f t="shared" si="198"/>
        <v>40303</v>
      </c>
      <c r="IX5" s="59">
        <f t="shared" si="198"/>
        <v>40304</v>
      </c>
      <c r="IY5" s="59">
        <f t="shared" si="198"/>
        <v>40305</v>
      </c>
      <c r="IZ5" s="59">
        <f t="shared" si="198"/>
        <v>40306</v>
      </c>
      <c r="JA5" s="60">
        <f t="shared" si="198"/>
        <v>40307</v>
      </c>
      <c r="JB5" s="58">
        <f t="shared" si="198"/>
        <v>40308</v>
      </c>
      <c r="JC5" s="59">
        <f t="shared" si="198"/>
        <v>40309</v>
      </c>
      <c r="JD5" s="59">
        <f t="shared" si="198"/>
        <v>40310</v>
      </c>
      <c r="JE5" s="59">
        <f t="shared" si="198"/>
        <v>40311</v>
      </c>
      <c r="JF5" s="59">
        <f t="shared" si="198"/>
        <v>40312</v>
      </c>
      <c r="JG5" s="59">
        <f t="shared" ref="JG5:LR5" si="199">JG1</f>
        <v>40313</v>
      </c>
      <c r="JH5" s="60">
        <f t="shared" si="199"/>
        <v>40314</v>
      </c>
      <c r="JI5" s="58">
        <f t="shared" si="199"/>
        <v>40315</v>
      </c>
      <c r="JJ5" s="59">
        <f t="shared" si="199"/>
        <v>40316</v>
      </c>
      <c r="JK5" s="59">
        <f t="shared" si="199"/>
        <v>40317</v>
      </c>
      <c r="JL5" s="59">
        <f t="shared" si="199"/>
        <v>40318</v>
      </c>
      <c r="JM5" s="59">
        <f t="shared" si="199"/>
        <v>40319</v>
      </c>
      <c r="JN5" s="59">
        <f t="shared" si="199"/>
        <v>40320</v>
      </c>
      <c r="JO5" s="60">
        <f t="shared" si="199"/>
        <v>40321</v>
      </c>
      <c r="JP5" s="58">
        <f t="shared" si="199"/>
        <v>40322</v>
      </c>
      <c r="JQ5" s="59">
        <f t="shared" si="199"/>
        <v>40323</v>
      </c>
      <c r="JR5" s="59">
        <f t="shared" si="199"/>
        <v>40324</v>
      </c>
      <c r="JS5" s="59">
        <f t="shared" si="199"/>
        <v>40325</v>
      </c>
      <c r="JT5" s="59">
        <f t="shared" si="199"/>
        <v>40326</v>
      </c>
      <c r="JU5" s="59">
        <f t="shared" si="199"/>
        <v>40327</v>
      </c>
      <c r="JV5" s="60">
        <f t="shared" si="199"/>
        <v>40328</v>
      </c>
      <c r="JW5" s="58">
        <f t="shared" si="199"/>
        <v>40329</v>
      </c>
      <c r="JX5" s="59">
        <f t="shared" si="199"/>
        <v>40330</v>
      </c>
      <c r="JY5" s="59">
        <f t="shared" si="199"/>
        <v>40331</v>
      </c>
      <c r="JZ5" s="59">
        <f t="shared" si="199"/>
        <v>40332</v>
      </c>
      <c r="KA5" s="59">
        <f t="shared" si="199"/>
        <v>40333</v>
      </c>
      <c r="KB5" s="59">
        <f t="shared" si="199"/>
        <v>40334</v>
      </c>
      <c r="KC5" s="60">
        <f t="shared" si="199"/>
        <v>40335</v>
      </c>
      <c r="KD5" s="58">
        <f t="shared" si="199"/>
        <v>40336</v>
      </c>
      <c r="KE5" s="59">
        <f t="shared" si="199"/>
        <v>40337</v>
      </c>
      <c r="KF5" s="59">
        <f t="shared" si="199"/>
        <v>40338</v>
      </c>
      <c r="KG5" s="59">
        <f t="shared" si="199"/>
        <v>40339</v>
      </c>
      <c r="KH5" s="59">
        <f t="shared" si="199"/>
        <v>40340</v>
      </c>
      <c r="KI5" s="59">
        <f t="shared" si="199"/>
        <v>40341</v>
      </c>
      <c r="KJ5" s="60">
        <f t="shared" si="199"/>
        <v>40342</v>
      </c>
      <c r="KK5" s="58">
        <f t="shared" si="199"/>
        <v>40343</v>
      </c>
      <c r="KL5" s="59">
        <f t="shared" si="199"/>
        <v>40344</v>
      </c>
      <c r="KM5" s="59">
        <f t="shared" si="199"/>
        <v>40345</v>
      </c>
      <c r="KN5" s="59">
        <f t="shared" si="199"/>
        <v>40346</v>
      </c>
      <c r="KO5" s="59">
        <f t="shared" si="199"/>
        <v>40347</v>
      </c>
      <c r="KP5" s="59">
        <f t="shared" si="199"/>
        <v>40348</v>
      </c>
      <c r="KQ5" s="60">
        <f t="shared" si="199"/>
        <v>40349</v>
      </c>
      <c r="KR5" s="58">
        <f t="shared" si="199"/>
        <v>40350</v>
      </c>
      <c r="KS5" s="59">
        <f t="shared" si="199"/>
        <v>40351</v>
      </c>
      <c r="KT5" s="59">
        <f t="shared" si="199"/>
        <v>40352</v>
      </c>
      <c r="KU5" s="59">
        <f t="shared" si="199"/>
        <v>40353</v>
      </c>
      <c r="KV5" s="59">
        <f t="shared" si="199"/>
        <v>40354</v>
      </c>
      <c r="KW5" s="59">
        <f t="shared" si="199"/>
        <v>40355</v>
      </c>
      <c r="KX5" s="60">
        <f t="shared" si="199"/>
        <v>40356</v>
      </c>
      <c r="KY5" s="58">
        <f t="shared" si="199"/>
        <v>40357</v>
      </c>
      <c r="KZ5" s="59">
        <f t="shared" si="199"/>
        <v>40358</v>
      </c>
      <c r="LA5" s="59">
        <f t="shared" si="199"/>
        <v>40359</v>
      </c>
      <c r="LB5" s="59">
        <f t="shared" si="199"/>
        <v>40360</v>
      </c>
      <c r="LC5" s="59">
        <f t="shared" si="199"/>
        <v>40361</v>
      </c>
      <c r="LD5" s="59">
        <f t="shared" si="199"/>
        <v>40362</v>
      </c>
      <c r="LE5" s="60">
        <f t="shared" si="199"/>
        <v>40363</v>
      </c>
      <c r="LF5" s="58">
        <f t="shared" si="199"/>
        <v>40364</v>
      </c>
      <c r="LG5" s="59">
        <f t="shared" si="199"/>
        <v>40365</v>
      </c>
      <c r="LH5" s="59">
        <f t="shared" si="199"/>
        <v>40366</v>
      </c>
      <c r="LI5" s="59">
        <f t="shared" si="199"/>
        <v>40367</v>
      </c>
      <c r="LJ5" s="59">
        <f t="shared" si="199"/>
        <v>40368</v>
      </c>
      <c r="LK5" s="59">
        <f t="shared" si="199"/>
        <v>40369</v>
      </c>
      <c r="LL5" s="60">
        <f t="shared" si="199"/>
        <v>40370</v>
      </c>
      <c r="LM5" s="58">
        <f t="shared" si="199"/>
        <v>40371</v>
      </c>
      <c r="LN5" s="59">
        <f t="shared" si="199"/>
        <v>40372</v>
      </c>
      <c r="LO5" s="59">
        <f t="shared" si="199"/>
        <v>40373</v>
      </c>
      <c r="LP5" s="59">
        <f t="shared" si="199"/>
        <v>40374</v>
      </c>
      <c r="LQ5" s="59">
        <f t="shared" si="199"/>
        <v>40375</v>
      </c>
      <c r="LR5" s="59">
        <f t="shared" si="199"/>
        <v>40376</v>
      </c>
      <c r="LS5" s="60">
        <f t="shared" ref="LS5:NI5" si="200">LS1</f>
        <v>40377</v>
      </c>
      <c r="LT5" s="58">
        <f t="shared" si="200"/>
        <v>40378</v>
      </c>
      <c r="LU5" s="59">
        <f t="shared" si="200"/>
        <v>40379</v>
      </c>
      <c r="LV5" s="59">
        <f t="shared" si="200"/>
        <v>40380</v>
      </c>
      <c r="LW5" s="59">
        <f t="shared" si="200"/>
        <v>40381</v>
      </c>
      <c r="LX5" s="59">
        <f t="shared" si="200"/>
        <v>40382</v>
      </c>
      <c r="LY5" s="59">
        <f t="shared" si="200"/>
        <v>40383</v>
      </c>
      <c r="LZ5" s="60">
        <f t="shared" si="200"/>
        <v>40384</v>
      </c>
      <c r="MA5" s="58">
        <f t="shared" si="200"/>
        <v>40385</v>
      </c>
      <c r="MB5" s="59">
        <f t="shared" si="200"/>
        <v>40386</v>
      </c>
      <c r="MC5" s="59">
        <f t="shared" si="200"/>
        <v>40387</v>
      </c>
      <c r="MD5" s="59">
        <f t="shared" si="200"/>
        <v>40388</v>
      </c>
      <c r="ME5" s="59">
        <f t="shared" si="200"/>
        <v>40389</v>
      </c>
      <c r="MF5" s="59">
        <f t="shared" si="200"/>
        <v>40390</v>
      </c>
      <c r="MG5" s="60">
        <f t="shared" si="200"/>
        <v>40391</v>
      </c>
      <c r="MH5" s="58">
        <f t="shared" si="200"/>
        <v>40392</v>
      </c>
      <c r="MI5" s="59">
        <f t="shared" si="200"/>
        <v>40393</v>
      </c>
      <c r="MJ5" s="59">
        <f t="shared" si="200"/>
        <v>40394</v>
      </c>
      <c r="MK5" s="59">
        <f t="shared" si="200"/>
        <v>40395</v>
      </c>
      <c r="ML5" s="59">
        <f t="shared" si="200"/>
        <v>40396</v>
      </c>
      <c r="MM5" s="59">
        <f t="shared" si="200"/>
        <v>40397</v>
      </c>
      <c r="MN5" s="60">
        <f t="shared" si="200"/>
        <v>40398</v>
      </c>
      <c r="MO5" s="58">
        <f t="shared" si="200"/>
        <v>40399</v>
      </c>
      <c r="MP5" s="59">
        <f t="shared" si="200"/>
        <v>40400</v>
      </c>
      <c r="MQ5" s="59">
        <f t="shared" si="200"/>
        <v>40401</v>
      </c>
      <c r="MR5" s="59">
        <f t="shared" si="200"/>
        <v>40402</v>
      </c>
      <c r="MS5" s="59">
        <f t="shared" si="200"/>
        <v>40403</v>
      </c>
      <c r="MT5" s="59">
        <f t="shared" si="200"/>
        <v>40404</v>
      </c>
      <c r="MU5" s="60">
        <f t="shared" si="200"/>
        <v>40405</v>
      </c>
      <c r="MV5" s="58">
        <f t="shared" si="200"/>
        <v>40406</v>
      </c>
      <c r="MW5" s="59">
        <f t="shared" si="200"/>
        <v>40407</v>
      </c>
      <c r="MX5" s="59">
        <f t="shared" si="200"/>
        <v>40408</v>
      </c>
      <c r="MY5" s="59">
        <f t="shared" si="200"/>
        <v>40409</v>
      </c>
      <c r="MZ5" s="59">
        <f t="shared" si="200"/>
        <v>40410</v>
      </c>
      <c r="NA5" s="59">
        <f t="shared" si="200"/>
        <v>40411</v>
      </c>
      <c r="NB5" s="60">
        <f t="shared" si="200"/>
        <v>40412</v>
      </c>
      <c r="NC5" s="58">
        <f t="shared" si="200"/>
        <v>40413</v>
      </c>
      <c r="ND5" s="59">
        <f t="shared" si="200"/>
        <v>40414</v>
      </c>
      <c r="NE5" s="59">
        <f t="shared" si="200"/>
        <v>40415</v>
      </c>
      <c r="NF5" s="59">
        <f t="shared" si="200"/>
        <v>40416</v>
      </c>
      <c r="NG5" s="59">
        <f t="shared" si="200"/>
        <v>40417</v>
      </c>
      <c r="NH5" s="59">
        <f t="shared" si="200"/>
        <v>40418</v>
      </c>
      <c r="NI5" s="60">
        <f t="shared" si="200"/>
        <v>40419</v>
      </c>
    </row>
    <row r="6" spans="1:374">
      <c r="A6" s="33">
        <v>1</v>
      </c>
      <c r="B6" s="34" t="s">
        <v>25</v>
      </c>
      <c r="C6" s="35">
        <v>40081</v>
      </c>
      <c r="D6" s="35">
        <v>40240</v>
      </c>
      <c r="E6" s="35"/>
      <c r="F6" s="36">
        <f t="shared" ref="F6:F49" si="201">IF(ISBLANK(A6),"",IF(OR(ISBLANK(C6),ISBLANK(D6)),0,NETWORKDAYS(C6,D6)))</f>
        <v>114</v>
      </c>
      <c r="G6" s="37">
        <f t="shared" ref="G6:G49" si="202">IF(ISBLANK(A6),"",IF(OR(ISBLANK(C6),ISBLANK(D6)),0,IF(Today&lt;C6,0,NETWORKDAYS(C6,IF(ISBLANK(E6),Today-1,E6)))))</f>
        <v>66</v>
      </c>
      <c r="H6" s="37">
        <f t="shared" ref="H6:H49" si="203">IF(ISBLANK(A6),"",IF(OR(ISBLANK(C6),ISBLANK(D6)),0,IF(OR(Today&gt;D6,NOT(ISBLANK(E6))),0,IF(Today&lt;C6,NETWORKDAYS(C6,D6),NETWORKDAYS(Today,D6)))))</f>
        <v>48</v>
      </c>
      <c r="I6" s="36">
        <f t="shared" ref="I6:I49" si="204">IF(ISBLANK(A6),"",IF(NOT(ISBLANK(E6)),IF(E6&gt;D6,E6-D6,0),0))</f>
        <v>0</v>
      </c>
      <c r="J6" s="14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6"/>
      <c r="NJ6" s="17"/>
    </row>
    <row r="7" spans="1:374">
      <c r="A7" s="18">
        <v>1.1000000000000001</v>
      </c>
      <c r="B7" s="19" t="s">
        <v>26</v>
      </c>
      <c r="C7" s="20">
        <v>40081</v>
      </c>
      <c r="D7" s="20">
        <v>40195</v>
      </c>
      <c r="E7" s="20"/>
      <c r="F7" s="7">
        <f t="shared" si="201"/>
        <v>81</v>
      </c>
      <c r="G7" s="8">
        <f t="shared" si="202"/>
        <v>66</v>
      </c>
      <c r="H7" s="8">
        <f t="shared" si="203"/>
        <v>15</v>
      </c>
      <c r="I7" s="7">
        <f t="shared" si="204"/>
        <v>0</v>
      </c>
      <c r="J7" s="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10"/>
      <c r="NJ7" s="17"/>
    </row>
    <row r="8" spans="1:374">
      <c r="A8" s="18">
        <v>1.2</v>
      </c>
      <c r="B8" s="19" t="s">
        <v>27</v>
      </c>
      <c r="C8" s="20">
        <v>40119</v>
      </c>
      <c r="D8" s="20">
        <v>40207</v>
      </c>
      <c r="E8" s="20"/>
      <c r="F8" s="7">
        <f t="shared" si="201"/>
        <v>65</v>
      </c>
      <c r="G8" s="8">
        <f t="shared" si="202"/>
        <v>40</v>
      </c>
      <c r="H8" s="8">
        <f t="shared" si="203"/>
        <v>25</v>
      </c>
      <c r="I8" s="7">
        <f t="shared" si="204"/>
        <v>0</v>
      </c>
      <c r="J8" s="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10"/>
      <c r="NJ8" s="17"/>
    </row>
    <row r="9" spans="1:374">
      <c r="A9" s="18">
        <v>1.3</v>
      </c>
      <c r="B9" s="19" t="s">
        <v>28</v>
      </c>
      <c r="C9" s="20">
        <v>40148</v>
      </c>
      <c r="D9" s="20">
        <v>40168</v>
      </c>
      <c r="E9" s="20">
        <v>40171</v>
      </c>
      <c r="F9" s="7">
        <f t="shared" si="201"/>
        <v>15</v>
      </c>
      <c r="G9" s="8">
        <f t="shared" si="202"/>
        <v>18</v>
      </c>
      <c r="H9" s="8">
        <f t="shared" si="203"/>
        <v>0</v>
      </c>
      <c r="I9" s="7">
        <f t="shared" si="204"/>
        <v>3</v>
      </c>
      <c r="J9" s="9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10"/>
      <c r="NJ9" s="17"/>
    </row>
    <row r="10" spans="1:374">
      <c r="A10" s="18">
        <v>1.4</v>
      </c>
      <c r="B10" s="19" t="s">
        <v>29</v>
      </c>
      <c r="C10" s="20">
        <v>40148</v>
      </c>
      <c r="D10" s="20">
        <v>40193</v>
      </c>
      <c r="E10" s="20"/>
      <c r="F10" s="7">
        <f t="shared" si="201"/>
        <v>34</v>
      </c>
      <c r="G10" s="8">
        <f t="shared" si="202"/>
        <v>19</v>
      </c>
      <c r="H10" s="8">
        <f t="shared" si="203"/>
        <v>15</v>
      </c>
      <c r="I10" s="7">
        <f t="shared" si="204"/>
        <v>0</v>
      </c>
      <c r="J10" s="9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10"/>
      <c r="NJ10" s="17"/>
    </row>
    <row r="11" spans="1:374">
      <c r="A11" s="18">
        <v>1.5</v>
      </c>
      <c r="B11" s="19" t="s">
        <v>30</v>
      </c>
      <c r="C11" s="20">
        <v>40168</v>
      </c>
      <c r="D11" s="20">
        <v>40193</v>
      </c>
      <c r="E11" s="20"/>
      <c r="F11" s="7">
        <f t="shared" si="201"/>
        <v>20</v>
      </c>
      <c r="G11" s="8">
        <f t="shared" si="202"/>
        <v>5</v>
      </c>
      <c r="H11" s="8">
        <f t="shared" si="203"/>
        <v>15</v>
      </c>
      <c r="I11" s="7">
        <f t="shared" si="204"/>
        <v>0</v>
      </c>
      <c r="J11" s="9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10"/>
      <c r="NJ11" s="17"/>
    </row>
    <row r="12" spans="1:374">
      <c r="A12" s="18">
        <v>1.6</v>
      </c>
      <c r="B12" s="19" t="s">
        <v>31</v>
      </c>
      <c r="C12" s="20">
        <v>40182</v>
      </c>
      <c r="D12" s="20">
        <v>40207</v>
      </c>
      <c r="E12" s="20"/>
      <c r="F12" s="7">
        <f t="shared" si="201"/>
        <v>20</v>
      </c>
      <c r="G12" s="8">
        <f t="shared" si="202"/>
        <v>0</v>
      </c>
      <c r="H12" s="8">
        <f t="shared" si="203"/>
        <v>20</v>
      </c>
      <c r="I12" s="7">
        <f t="shared" si="204"/>
        <v>0</v>
      </c>
      <c r="J12" s="9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10"/>
      <c r="NJ12" s="17"/>
    </row>
    <row r="13" spans="1:374">
      <c r="A13" s="18">
        <v>2</v>
      </c>
      <c r="B13" s="19" t="s">
        <v>32</v>
      </c>
      <c r="C13" s="20">
        <v>40182</v>
      </c>
      <c r="D13" s="20">
        <v>40233</v>
      </c>
      <c r="E13" s="20"/>
      <c r="F13" s="7">
        <f t="shared" si="201"/>
        <v>38</v>
      </c>
      <c r="G13" s="8">
        <f t="shared" si="202"/>
        <v>0</v>
      </c>
      <c r="H13" s="8">
        <f t="shared" si="203"/>
        <v>38</v>
      </c>
      <c r="I13" s="7">
        <f t="shared" si="204"/>
        <v>0</v>
      </c>
      <c r="J13" s="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10"/>
      <c r="NJ13" s="17"/>
    </row>
    <row r="14" spans="1:374">
      <c r="A14" s="18">
        <v>2.1</v>
      </c>
      <c r="B14" s="19" t="s">
        <v>26</v>
      </c>
      <c r="C14" s="20">
        <v>40182</v>
      </c>
      <c r="D14" s="20">
        <v>40189</v>
      </c>
      <c r="E14" s="20"/>
      <c r="F14" s="7">
        <f t="shared" si="201"/>
        <v>6</v>
      </c>
      <c r="G14" s="8">
        <f t="shared" si="202"/>
        <v>0</v>
      </c>
      <c r="H14" s="8">
        <f t="shared" si="203"/>
        <v>6</v>
      </c>
      <c r="I14" s="7">
        <f t="shared" si="204"/>
        <v>0</v>
      </c>
      <c r="J14" s="9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10"/>
      <c r="NJ14" s="17"/>
    </row>
    <row r="15" spans="1:374">
      <c r="A15" s="18">
        <v>2.2000000000000002</v>
      </c>
      <c r="B15" s="19" t="s">
        <v>27</v>
      </c>
      <c r="C15" s="20">
        <v>40189</v>
      </c>
      <c r="D15" s="20">
        <v>40204</v>
      </c>
      <c r="E15" s="20"/>
      <c r="F15" s="7">
        <f t="shared" si="201"/>
        <v>12</v>
      </c>
      <c r="G15" s="8">
        <f t="shared" si="202"/>
        <v>0</v>
      </c>
      <c r="H15" s="8">
        <f t="shared" si="203"/>
        <v>12</v>
      </c>
      <c r="I15" s="7">
        <f t="shared" si="204"/>
        <v>0</v>
      </c>
      <c r="J15" s="9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10"/>
      <c r="NJ15" s="17"/>
    </row>
    <row r="16" spans="1:374">
      <c r="A16" s="18">
        <v>2.2999999999999998</v>
      </c>
      <c r="B16" s="19" t="s">
        <v>28</v>
      </c>
      <c r="C16" s="20">
        <v>40203</v>
      </c>
      <c r="D16" s="20">
        <v>40233</v>
      </c>
      <c r="E16" s="20"/>
      <c r="F16" s="7">
        <f t="shared" si="201"/>
        <v>23</v>
      </c>
      <c r="G16" s="8">
        <f t="shared" si="202"/>
        <v>0</v>
      </c>
      <c r="H16" s="8">
        <f t="shared" si="203"/>
        <v>23</v>
      </c>
      <c r="I16" s="7">
        <f t="shared" si="204"/>
        <v>0</v>
      </c>
      <c r="J16" s="9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10"/>
      <c r="NJ16" s="17"/>
    </row>
    <row r="17" spans="1:374">
      <c r="A17" s="18"/>
      <c r="B17" s="19"/>
      <c r="C17" s="20"/>
      <c r="D17" s="20"/>
      <c r="E17" s="20"/>
      <c r="F17" s="7" t="str">
        <f t="shared" si="201"/>
        <v/>
      </c>
      <c r="G17" s="8" t="str">
        <f t="shared" si="202"/>
        <v/>
      </c>
      <c r="H17" s="8" t="str">
        <f t="shared" si="203"/>
        <v/>
      </c>
      <c r="I17" s="7" t="str">
        <f t="shared" si="204"/>
        <v/>
      </c>
      <c r="J17" s="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10"/>
      <c r="NJ17" s="17"/>
    </row>
    <row r="18" spans="1:374">
      <c r="A18" s="18"/>
      <c r="B18" s="19"/>
      <c r="C18" s="20"/>
      <c r="D18" s="20"/>
      <c r="E18" s="20"/>
      <c r="F18" s="7" t="str">
        <f t="shared" si="201"/>
        <v/>
      </c>
      <c r="G18" s="8" t="str">
        <f t="shared" si="202"/>
        <v/>
      </c>
      <c r="H18" s="8" t="str">
        <f t="shared" si="203"/>
        <v/>
      </c>
      <c r="I18" s="7" t="str">
        <f t="shared" si="204"/>
        <v/>
      </c>
      <c r="J18" s="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10"/>
      <c r="NJ18" s="17"/>
    </row>
    <row r="19" spans="1:374">
      <c r="A19" s="18"/>
      <c r="B19" s="19"/>
      <c r="C19" s="20"/>
      <c r="D19" s="20"/>
      <c r="E19" s="20"/>
      <c r="F19" s="7" t="str">
        <f t="shared" si="201"/>
        <v/>
      </c>
      <c r="G19" s="8" t="str">
        <f t="shared" si="202"/>
        <v/>
      </c>
      <c r="H19" s="8" t="str">
        <f t="shared" si="203"/>
        <v/>
      </c>
      <c r="I19" s="7" t="str">
        <f t="shared" si="204"/>
        <v/>
      </c>
      <c r="J19" s="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10"/>
      <c r="NJ19" s="17"/>
    </row>
    <row r="20" spans="1:374">
      <c r="A20" s="18"/>
      <c r="B20" s="19"/>
      <c r="C20" s="20"/>
      <c r="D20" s="20"/>
      <c r="E20" s="20"/>
      <c r="F20" s="7" t="str">
        <f t="shared" si="201"/>
        <v/>
      </c>
      <c r="G20" s="8" t="str">
        <f t="shared" si="202"/>
        <v/>
      </c>
      <c r="H20" s="8" t="str">
        <f t="shared" si="203"/>
        <v/>
      </c>
      <c r="I20" s="7" t="str">
        <f t="shared" si="204"/>
        <v/>
      </c>
      <c r="J20" s="9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10"/>
      <c r="NJ20" s="17"/>
    </row>
    <row r="21" spans="1:374">
      <c r="A21" s="18"/>
      <c r="B21" s="19"/>
      <c r="C21" s="20"/>
      <c r="D21" s="20"/>
      <c r="E21" s="20"/>
      <c r="F21" s="7" t="str">
        <f t="shared" si="201"/>
        <v/>
      </c>
      <c r="G21" s="8" t="str">
        <f t="shared" si="202"/>
        <v/>
      </c>
      <c r="H21" s="8" t="str">
        <f t="shared" si="203"/>
        <v/>
      </c>
      <c r="I21" s="7" t="str">
        <f t="shared" si="204"/>
        <v/>
      </c>
      <c r="J21" s="9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10"/>
      <c r="NJ21" s="17"/>
    </row>
    <row r="22" spans="1:374">
      <c r="A22" s="18"/>
      <c r="B22" s="19"/>
      <c r="C22" s="20"/>
      <c r="D22" s="20"/>
      <c r="E22" s="20"/>
      <c r="F22" s="7" t="str">
        <f t="shared" si="201"/>
        <v/>
      </c>
      <c r="G22" s="8" t="str">
        <f t="shared" si="202"/>
        <v/>
      </c>
      <c r="H22" s="8" t="str">
        <f t="shared" si="203"/>
        <v/>
      </c>
      <c r="I22" s="7" t="str">
        <f t="shared" si="204"/>
        <v/>
      </c>
      <c r="J22" s="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10"/>
      <c r="NJ22" s="17"/>
    </row>
    <row r="23" spans="1:374">
      <c r="A23" s="18"/>
      <c r="B23" s="19"/>
      <c r="C23" s="20"/>
      <c r="D23" s="20"/>
      <c r="E23" s="20"/>
      <c r="F23" s="7" t="str">
        <f t="shared" si="201"/>
        <v/>
      </c>
      <c r="G23" s="8" t="str">
        <f t="shared" si="202"/>
        <v/>
      </c>
      <c r="H23" s="8" t="str">
        <f t="shared" si="203"/>
        <v/>
      </c>
      <c r="I23" s="7" t="str">
        <f t="shared" si="204"/>
        <v/>
      </c>
      <c r="J23" s="9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10"/>
      <c r="NJ23" s="17"/>
    </row>
    <row r="24" spans="1:374">
      <c r="A24" s="18"/>
      <c r="B24" s="19"/>
      <c r="C24" s="20"/>
      <c r="D24" s="20"/>
      <c r="E24" s="20"/>
      <c r="F24" s="7" t="str">
        <f t="shared" si="201"/>
        <v/>
      </c>
      <c r="G24" s="8" t="str">
        <f t="shared" si="202"/>
        <v/>
      </c>
      <c r="H24" s="8" t="str">
        <f t="shared" si="203"/>
        <v/>
      </c>
      <c r="I24" s="7" t="str">
        <f t="shared" si="204"/>
        <v/>
      </c>
      <c r="J24" s="9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10"/>
      <c r="NJ24" s="17"/>
    </row>
    <row r="25" spans="1:374">
      <c r="A25" s="18"/>
      <c r="B25" s="19"/>
      <c r="C25" s="20"/>
      <c r="D25" s="20"/>
      <c r="E25" s="20"/>
      <c r="F25" s="7" t="str">
        <f t="shared" si="201"/>
        <v/>
      </c>
      <c r="G25" s="8" t="str">
        <f t="shared" si="202"/>
        <v/>
      </c>
      <c r="H25" s="8" t="str">
        <f t="shared" si="203"/>
        <v/>
      </c>
      <c r="I25" s="7" t="str">
        <f t="shared" si="204"/>
        <v/>
      </c>
      <c r="J25" s="9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10"/>
      <c r="NJ25" s="17"/>
    </row>
    <row r="26" spans="1:374">
      <c r="A26" s="18"/>
      <c r="B26" s="19"/>
      <c r="C26" s="20"/>
      <c r="D26" s="20"/>
      <c r="E26" s="20"/>
      <c r="F26" s="7" t="str">
        <f t="shared" si="201"/>
        <v/>
      </c>
      <c r="G26" s="8" t="str">
        <f t="shared" si="202"/>
        <v/>
      </c>
      <c r="H26" s="8" t="str">
        <f t="shared" si="203"/>
        <v/>
      </c>
      <c r="I26" s="7" t="str">
        <f t="shared" si="204"/>
        <v/>
      </c>
      <c r="J26" s="9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10"/>
      <c r="NJ26" s="17"/>
    </row>
    <row r="27" spans="1:374">
      <c r="A27" s="18"/>
      <c r="B27" s="19"/>
      <c r="C27" s="20"/>
      <c r="D27" s="20"/>
      <c r="E27" s="20"/>
      <c r="F27" s="7" t="str">
        <f t="shared" si="201"/>
        <v/>
      </c>
      <c r="G27" s="8" t="str">
        <f t="shared" si="202"/>
        <v/>
      </c>
      <c r="H27" s="8" t="str">
        <f t="shared" si="203"/>
        <v/>
      </c>
      <c r="I27" s="7" t="str">
        <f t="shared" si="204"/>
        <v/>
      </c>
      <c r="J27" s="9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10"/>
      <c r="NJ27" s="17"/>
    </row>
    <row r="28" spans="1:374">
      <c r="A28" s="18"/>
      <c r="B28" s="19"/>
      <c r="C28" s="20"/>
      <c r="D28" s="20"/>
      <c r="E28" s="20"/>
      <c r="F28" s="7" t="str">
        <f t="shared" si="201"/>
        <v/>
      </c>
      <c r="G28" s="8" t="str">
        <f t="shared" si="202"/>
        <v/>
      </c>
      <c r="H28" s="8" t="str">
        <f t="shared" si="203"/>
        <v/>
      </c>
      <c r="I28" s="7" t="str">
        <f t="shared" si="204"/>
        <v/>
      </c>
      <c r="J28" s="9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10"/>
      <c r="NJ28" s="17"/>
    </row>
    <row r="29" spans="1:374">
      <c r="A29" s="18"/>
      <c r="B29" s="19"/>
      <c r="C29" s="20"/>
      <c r="D29" s="20"/>
      <c r="E29" s="20"/>
      <c r="F29" s="7" t="str">
        <f t="shared" si="201"/>
        <v/>
      </c>
      <c r="G29" s="8" t="str">
        <f t="shared" si="202"/>
        <v/>
      </c>
      <c r="H29" s="8" t="str">
        <f t="shared" si="203"/>
        <v/>
      </c>
      <c r="I29" s="7" t="str">
        <f t="shared" si="204"/>
        <v/>
      </c>
      <c r="J29" s="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10"/>
      <c r="NJ29" s="17"/>
    </row>
    <row r="30" spans="1:374">
      <c r="A30" s="18"/>
      <c r="B30" s="19"/>
      <c r="C30" s="20"/>
      <c r="D30" s="20"/>
      <c r="E30" s="20"/>
      <c r="F30" s="7" t="str">
        <f t="shared" si="201"/>
        <v/>
      </c>
      <c r="G30" s="8" t="str">
        <f t="shared" si="202"/>
        <v/>
      </c>
      <c r="H30" s="8" t="str">
        <f t="shared" si="203"/>
        <v/>
      </c>
      <c r="I30" s="7" t="str">
        <f t="shared" si="204"/>
        <v/>
      </c>
      <c r="J30" s="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10"/>
      <c r="NJ30" s="17"/>
    </row>
    <row r="31" spans="1:374">
      <c r="A31" s="18"/>
      <c r="B31" s="19"/>
      <c r="C31" s="20"/>
      <c r="D31" s="20"/>
      <c r="E31" s="20"/>
      <c r="F31" s="7" t="str">
        <f t="shared" si="201"/>
        <v/>
      </c>
      <c r="G31" s="8" t="str">
        <f t="shared" si="202"/>
        <v/>
      </c>
      <c r="H31" s="8" t="str">
        <f t="shared" si="203"/>
        <v/>
      </c>
      <c r="I31" s="7" t="str">
        <f t="shared" si="204"/>
        <v/>
      </c>
      <c r="J31" s="9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10"/>
      <c r="NJ31" s="17"/>
    </row>
    <row r="32" spans="1:374">
      <c r="A32" s="18"/>
      <c r="B32" s="19"/>
      <c r="C32" s="20"/>
      <c r="D32" s="20"/>
      <c r="E32" s="20"/>
      <c r="F32" s="7" t="str">
        <f t="shared" si="201"/>
        <v/>
      </c>
      <c r="G32" s="8" t="str">
        <f t="shared" si="202"/>
        <v/>
      </c>
      <c r="H32" s="8" t="str">
        <f t="shared" si="203"/>
        <v/>
      </c>
      <c r="I32" s="7" t="str">
        <f t="shared" si="204"/>
        <v/>
      </c>
      <c r="J32" s="9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10"/>
      <c r="NJ32" s="17"/>
    </row>
    <row r="33" spans="1:374">
      <c r="A33" s="18"/>
      <c r="B33" s="19"/>
      <c r="C33" s="20"/>
      <c r="D33" s="20"/>
      <c r="E33" s="20"/>
      <c r="F33" s="7" t="str">
        <f t="shared" si="201"/>
        <v/>
      </c>
      <c r="G33" s="8" t="str">
        <f t="shared" si="202"/>
        <v/>
      </c>
      <c r="H33" s="8" t="str">
        <f t="shared" si="203"/>
        <v/>
      </c>
      <c r="I33" s="7" t="str">
        <f t="shared" si="204"/>
        <v/>
      </c>
      <c r="J33" s="9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10"/>
      <c r="NJ33" s="17"/>
    </row>
    <row r="34" spans="1:374">
      <c r="A34" s="18"/>
      <c r="B34" s="19"/>
      <c r="C34" s="20"/>
      <c r="D34" s="20"/>
      <c r="E34" s="20"/>
      <c r="F34" s="7" t="str">
        <f t="shared" si="201"/>
        <v/>
      </c>
      <c r="G34" s="8" t="str">
        <f t="shared" si="202"/>
        <v/>
      </c>
      <c r="H34" s="8" t="str">
        <f t="shared" si="203"/>
        <v/>
      </c>
      <c r="I34" s="7" t="str">
        <f t="shared" si="204"/>
        <v/>
      </c>
      <c r="J34" s="9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10"/>
      <c r="NJ34" s="17"/>
    </row>
    <row r="35" spans="1:374">
      <c r="A35" s="18"/>
      <c r="B35" s="19"/>
      <c r="C35" s="20"/>
      <c r="D35" s="20"/>
      <c r="E35" s="20"/>
      <c r="F35" s="7" t="str">
        <f t="shared" si="201"/>
        <v/>
      </c>
      <c r="G35" s="8" t="str">
        <f t="shared" si="202"/>
        <v/>
      </c>
      <c r="H35" s="8" t="str">
        <f t="shared" si="203"/>
        <v/>
      </c>
      <c r="I35" s="7" t="str">
        <f t="shared" si="204"/>
        <v/>
      </c>
      <c r="J35" s="9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10"/>
      <c r="NJ35" s="17"/>
    </row>
    <row r="36" spans="1:374">
      <c r="A36" s="18"/>
      <c r="B36" s="19"/>
      <c r="C36" s="20"/>
      <c r="D36" s="20"/>
      <c r="E36" s="20"/>
      <c r="F36" s="7" t="str">
        <f t="shared" si="201"/>
        <v/>
      </c>
      <c r="G36" s="8" t="str">
        <f t="shared" si="202"/>
        <v/>
      </c>
      <c r="H36" s="8" t="str">
        <f t="shared" si="203"/>
        <v/>
      </c>
      <c r="I36" s="7" t="str">
        <f t="shared" si="204"/>
        <v/>
      </c>
      <c r="J36" s="9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10"/>
      <c r="NJ36" s="17"/>
    </row>
    <row r="37" spans="1:374">
      <c r="A37" s="18"/>
      <c r="B37" s="19"/>
      <c r="C37" s="20"/>
      <c r="D37" s="20"/>
      <c r="E37" s="20"/>
      <c r="F37" s="7" t="str">
        <f t="shared" si="201"/>
        <v/>
      </c>
      <c r="G37" s="8" t="str">
        <f t="shared" si="202"/>
        <v/>
      </c>
      <c r="H37" s="8" t="str">
        <f t="shared" si="203"/>
        <v/>
      </c>
      <c r="I37" s="7" t="str">
        <f t="shared" si="204"/>
        <v/>
      </c>
      <c r="J37" s="9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10"/>
      <c r="NJ37" s="17"/>
    </row>
    <row r="38" spans="1:374">
      <c r="A38" s="18"/>
      <c r="B38" s="19"/>
      <c r="C38" s="20"/>
      <c r="D38" s="20"/>
      <c r="E38" s="20"/>
      <c r="F38" s="7" t="str">
        <f t="shared" si="201"/>
        <v/>
      </c>
      <c r="G38" s="8" t="str">
        <f t="shared" si="202"/>
        <v/>
      </c>
      <c r="H38" s="8" t="str">
        <f t="shared" si="203"/>
        <v/>
      </c>
      <c r="I38" s="7" t="str">
        <f t="shared" si="204"/>
        <v/>
      </c>
      <c r="J38" s="9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10"/>
      <c r="NJ38" s="17"/>
    </row>
    <row r="39" spans="1:374">
      <c r="A39" s="18"/>
      <c r="B39" s="19"/>
      <c r="C39" s="20"/>
      <c r="D39" s="20"/>
      <c r="E39" s="20"/>
      <c r="F39" s="7" t="str">
        <f t="shared" si="201"/>
        <v/>
      </c>
      <c r="G39" s="8" t="str">
        <f t="shared" si="202"/>
        <v/>
      </c>
      <c r="H39" s="8" t="str">
        <f t="shared" si="203"/>
        <v/>
      </c>
      <c r="I39" s="7" t="str">
        <f t="shared" si="204"/>
        <v/>
      </c>
      <c r="J39" s="9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10"/>
      <c r="NJ39" s="17"/>
    </row>
    <row r="40" spans="1:374">
      <c r="A40" s="18"/>
      <c r="B40" s="19"/>
      <c r="C40" s="20"/>
      <c r="D40" s="20"/>
      <c r="E40" s="20"/>
      <c r="F40" s="7" t="str">
        <f t="shared" si="201"/>
        <v/>
      </c>
      <c r="G40" s="8" t="str">
        <f t="shared" si="202"/>
        <v/>
      </c>
      <c r="H40" s="8" t="str">
        <f t="shared" si="203"/>
        <v/>
      </c>
      <c r="I40" s="7" t="str">
        <f t="shared" si="204"/>
        <v/>
      </c>
      <c r="J40" s="9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10"/>
      <c r="NJ40" s="17"/>
    </row>
    <row r="41" spans="1:374">
      <c r="A41" s="18"/>
      <c r="B41" s="19"/>
      <c r="C41" s="20"/>
      <c r="D41" s="20"/>
      <c r="E41" s="20"/>
      <c r="F41" s="7" t="str">
        <f t="shared" si="201"/>
        <v/>
      </c>
      <c r="G41" s="8" t="str">
        <f t="shared" si="202"/>
        <v/>
      </c>
      <c r="H41" s="8" t="str">
        <f t="shared" si="203"/>
        <v/>
      </c>
      <c r="I41" s="7" t="str">
        <f t="shared" si="204"/>
        <v/>
      </c>
      <c r="J41" s="9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10"/>
      <c r="NJ41" s="17"/>
    </row>
    <row r="42" spans="1:374">
      <c r="A42" s="18"/>
      <c r="B42" s="19"/>
      <c r="C42" s="20"/>
      <c r="D42" s="20"/>
      <c r="E42" s="20"/>
      <c r="F42" s="7" t="str">
        <f t="shared" si="201"/>
        <v/>
      </c>
      <c r="G42" s="8" t="str">
        <f t="shared" si="202"/>
        <v/>
      </c>
      <c r="H42" s="8" t="str">
        <f t="shared" si="203"/>
        <v/>
      </c>
      <c r="I42" s="7" t="str">
        <f t="shared" si="204"/>
        <v/>
      </c>
      <c r="J42" s="9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10"/>
      <c r="NJ42" s="17"/>
    </row>
    <row r="43" spans="1:374">
      <c r="A43" s="18"/>
      <c r="B43" s="19"/>
      <c r="C43" s="20"/>
      <c r="D43" s="20"/>
      <c r="E43" s="20"/>
      <c r="F43" s="7" t="str">
        <f t="shared" si="201"/>
        <v/>
      </c>
      <c r="G43" s="8" t="str">
        <f t="shared" si="202"/>
        <v/>
      </c>
      <c r="H43" s="8" t="str">
        <f t="shared" si="203"/>
        <v/>
      </c>
      <c r="I43" s="7" t="str">
        <f t="shared" si="204"/>
        <v/>
      </c>
      <c r="J43" s="9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10"/>
      <c r="NJ43" s="17"/>
    </row>
    <row r="44" spans="1:374">
      <c r="A44" s="18"/>
      <c r="B44" s="19"/>
      <c r="C44" s="20"/>
      <c r="D44" s="20"/>
      <c r="E44" s="20"/>
      <c r="F44" s="7" t="str">
        <f t="shared" si="201"/>
        <v/>
      </c>
      <c r="G44" s="8" t="str">
        <f t="shared" si="202"/>
        <v/>
      </c>
      <c r="H44" s="8" t="str">
        <f t="shared" si="203"/>
        <v/>
      </c>
      <c r="I44" s="7" t="str">
        <f t="shared" si="204"/>
        <v/>
      </c>
      <c r="J44" s="9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10"/>
      <c r="NJ44" s="17"/>
    </row>
    <row r="45" spans="1:374">
      <c r="A45" s="18"/>
      <c r="B45" s="19"/>
      <c r="C45" s="20"/>
      <c r="D45" s="20"/>
      <c r="E45" s="20"/>
      <c r="F45" s="7" t="str">
        <f t="shared" si="201"/>
        <v/>
      </c>
      <c r="G45" s="8" t="str">
        <f t="shared" si="202"/>
        <v/>
      </c>
      <c r="H45" s="8" t="str">
        <f t="shared" si="203"/>
        <v/>
      </c>
      <c r="I45" s="7" t="str">
        <f t="shared" si="204"/>
        <v/>
      </c>
      <c r="J45" s="9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10"/>
      <c r="NJ45" s="17"/>
    </row>
    <row r="46" spans="1:374">
      <c r="A46" s="18"/>
      <c r="B46" s="19"/>
      <c r="C46" s="20"/>
      <c r="D46" s="20"/>
      <c r="E46" s="20"/>
      <c r="F46" s="7" t="str">
        <f t="shared" si="201"/>
        <v/>
      </c>
      <c r="G46" s="8" t="str">
        <f t="shared" si="202"/>
        <v/>
      </c>
      <c r="H46" s="8" t="str">
        <f t="shared" si="203"/>
        <v/>
      </c>
      <c r="I46" s="7" t="str">
        <f t="shared" si="204"/>
        <v/>
      </c>
      <c r="J46" s="9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10"/>
      <c r="NJ46" s="17"/>
    </row>
    <row r="47" spans="1:374">
      <c r="A47" s="18"/>
      <c r="B47" s="19"/>
      <c r="C47" s="20"/>
      <c r="D47" s="20"/>
      <c r="E47" s="20"/>
      <c r="F47" s="7" t="str">
        <f t="shared" si="201"/>
        <v/>
      </c>
      <c r="G47" s="8" t="str">
        <f t="shared" si="202"/>
        <v/>
      </c>
      <c r="H47" s="8" t="str">
        <f t="shared" si="203"/>
        <v/>
      </c>
      <c r="I47" s="7" t="str">
        <f t="shared" si="204"/>
        <v/>
      </c>
      <c r="J47" s="9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10"/>
      <c r="NJ47" s="17"/>
    </row>
    <row r="48" spans="1:374">
      <c r="A48" s="18"/>
      <c r="B48" s="19"/>
      <c r="C48" s="20"/>
      <c r="D48" s="20"/>
      <c r="E48" s="20"/>
      <c r="F48" s="7" t="str">
        <f t="shared" si="201"/>
        <v/>
      </c>
      <c r="G48" s="8" t="str">
        <f t="shared" si="202"/>
        <v/>
      </c>
      <c r="H48" s="8" t="str">
        <f t="shared" si="203"/>
        <v/>
      </c>
      <c r="I48" s="7" t="str">
        <f t="shared" si="204"/>
        <v/>
      </c>
      <c r="J48" s="9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10"/>
      <c r="NJ48" s="17"/>
    </row>
    <row r="49" spans="1:374">
      <c r="A49" s="18"/>
      <c r="B49" s="19"/>
      <c r="C49" s="20"/>
      <c r="D49" s="20"/>
      <c r="E49" s="20"/>
      <c r="F49" s="7" t="str">
        <f t="shared" si="201"/>
        <v/>
      </c>
      <c r="G49" s="8" t="str">
        <f t="shared" si="202"/>
        <v/>
      </c>
      <c r="H49" s="8" t="str">
        <f t="shared" si="203"/>
        <v/>
      </c>
      <c r="I49" s="7" t="str">
        <f t="shared" si="204"/>
        <v/>
      </c>
      <c r="J49" s="9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10"/>
      <c r="NJ49" s="17"/>
    </row>
    <row r="50" spans="1:374">
      <c r="A50" s="3"/>
      <c r="B50" s="5"/>
      <c r="C50" s="4"/>
      <c r="D50" s="1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</row>
    <row r="53" spans="1:374">
      <c r="D53" s="12"/>
    </row>
  </sheetData>
  <sheetProtection sheet="1" objects="1" scenarios="1" autoFilter="0"/>
  <autoFilter ref="A5:A49">
    <filterColumn colId="0"/>
  </autoFilter>
  <dataConsolidate/>
  <mergeCells count="53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DY2:EE4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GQ2:GW4"/>
    <mergeCell ref="GX2:HD4"/>
    <mergeCell ref="HE2:HK4"/>
  </mergeCells>
  <conditionalFormatting sqref="A6:NI49">
    <cfRule type="expression" dxfId="9" priority="182">
      <formula>LEN($A6)=1</formula>
    </cfRule>
  </conditionalFormatting>
  <conditionalFormatting sqref="A6:E49">
    <cfRule type="expression" dxfId="8" priority="185">
      <formula>LEN($A6)&gt;1</formula>
    </cfRule>
  </conditionalFormatting>
  <conditionalFormatting sqref="J2:NI4 J6:NI49">
    <cfRule type="expression" dxfId="7" priority="181">
      <formula>J$2&lt;&gt;C$2</formula>
    </cfRule>
  </conditionalFormatting>
  <conditionalFormatting sqref="J6:NI49">
    <cfRule type="expression" dxfId="6" priority="83" stopIfTrue="1">
      <formula>J$1=Today</formula>
    </cfRule>
    <cfRule type="expression" dxfId="5" priority="162" stopIfTrue="1">
      <formula>AND(LEN($A6)=1,J$1&gt;=$C6,J$1&lt;=$D6,J$1&gt;Today,IF(ISBLANK($E6),TRUE,J$1&lt;=$E6))</formula>
    </cfRule>
    <cfRule type="expression" dxfId="4" priority="180" stopIfTrue="1">
      <formula>AND(LEN($A6)=1,J$1&lt;Today,J$1&gt;$C6,NOT(ISBLANK($C6)),$D6&lt;Today,IF(ISBLANK($E6),J$1&gt;$D6,J$1&lt;$E6))</formula>
    </cfRule>
  </conditionalFormatting>
  <conditionalFormatting sqref="J6:NI49">
    <cfRule type="expression" dxfId="3" priority="160" stopIfTrue="1">
      <formula>AND(LEN($A6)&gt;1,J$1&gt;=$C6,J$1&lt;=$D6,J$1&gt;Today,IF(ISBLANK($E6),TRUE,J$1&lt;=$E6))</formula>
    </cfRule>
    <cfRule type="expression" dxfId="2" priority="177" stopIfTrue="1">
      <formula>AND(LEN($A6)&gt;1,J$1&gt;=$C6,J$1&lt;=$D6,IF(ISBLANK($E6),TRUE,J$1&lt;=$E6))</formula>
    </cfRule>
    <cfRule type="expression" dxfId="1" priority="178" stopIfTrue="1">
      <formula>AND(LEN($A6)=1,J$1&gt;=$C6,J$1&lt;=$D6,IF(ISBLANK($E6),TRUE,J$1&lt;=$E6))</formula>
    </cfRule>
    <cfRule type="expression" dxfId="0" priority="179" stopIfTrue="1">
      <formula>AND(LEN($A6)&gt;1,J$1&lt;Today,J$1&gt;$C6,NOT(ISBLANK($C6)),$D6&lt;Today,IF(ISBLANK($E6),J$1&gt;$D6,J$1&lt;$E6))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Settings"/>
  <dimension ref="A1:C5"/>
  <sheetViews>
    <sheetView showGridLines="0" workbookViewId="0">
      <selection activeCell="B5" sqref="B5"/>
    </sheetView>
  </sheetViews>
  <sheetFormatPr defaultColWidth="9.125" defaultRowHeight="12.75"/>
  <cols>
    <col min="1" max="1" width="18.625" style="50" customWidth="1"/>
    <col min="2" max="2" width="10.625" style="50" customWidth="1"/>
    <col min="3" max="3" width="87.25" style="51" bestFit="1" customWidth="1"/>
    <col min="4" max="4" width="8" style="30" bestFit="1" customWidth="1"/>
    <col min="5" max="16384" width="9.125" style="30"/>
  </cols>
  <sheetData>
    <row r="1" spans="1:3">
      <c r="A1" s="46" t="s">
        <v>10</v>
      </c>
      <c r="B1" s="46" t="s">
        <v>12</v>
      </c>
      <c r="C1" s="47" t="s">
        <v>11</v>
      </c>
    </row>
    <row r="2" spans="1:3" ht="27" customHeight="1">
      <c r="A2" s="48" t="s">
        <v>1</v>
      </c>
      <c r="B2" s="52">
        <v>0</v>
      </c>
      <c r="C2" s="49" t="s">
        <v>13</v>
      </c>
    </row>
    <row r="3" spans="1:3" ht="27" customHeight="1">
      <c r="A3" s="48" t="s">
        <v>2</v>
      </c>
      <c r="B3" s="53">
        <v>2</v>
      </c>
      <c r="C3" s="49" t="s">
        <v>15</v>
      </c>
    </row>
    <row r="4" spans="1:3" ht="27" customHeight="1">
      <c r="A4" s="48" t="s">
        <v>6</v>
      </c>
      <c r="B4" s="54">
        <v>2</v>
      </c>
      <c r="C4" s="49" t="s">
        <v>16</v>
      </c>
    </row>
    <row r="5" spans="1:3" ht="27" customHeight="1">
      <c r="A5" s="48" t="s">
        <v>7</v>
      </c>
      <c r="B5" s="54" t="b">
        <v>1</v>
      </c>
      <c r="C5" s="49" t="s">
        <v>14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Chris Read</dc:creator>
  <cp:keywords>Project Management, Gantt Chart, Task Timeline, Project Profile</cp:keywords>
  <dc:description>Analyse project task timelines in a gantt chart.</dc:description>
  <cp:lastModifiedBy>ChrisRead</cp:lastModifiedBy>
  <cp:lastPrinted>2014-04-04T08:30:01Z</cp:lastPrinted>
  <dcterms:created xsi:type="dcterms:W3CDTF">2006-09-16T00:00:00Z</dcterms:created>
  <dcterms:modified xsi:type="dcterms:W3CDTF">2014-04-04T08:50:29Z</dcterms:modified>
  <cp:category>Project Management</cp:category>
</cp:coreProperties>
</file>