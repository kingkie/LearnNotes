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BaiduNetdiskDownload\EXCEL模板\"/>
    </mc:Choice>
  </mc:AlternateContent>
  <bookViews>
    <workbookView xWindow="0" yWindow="0" windowWidth="21600" windowHeight="9510"/>
  </bookViews>
  <sheets>
    <sheet name="首页" sheetId="3" r:id="rId1"/>
    <sheet name="项目汇总信息" sheetId="2" r:id="rId2"/>
    <sheet name="项目进度甘特图" sheetId="1" r:id="rId3"/>
    <sheet name="使用说明" sheetId="4" r:id="rId4"/>
  </sheets>
  <functionGroups builtInGroupCount="18"/>
  <definedNames>
    <definedName name="_xlnm.Print_Titles" localSheetId="2">项目进度甘特图!$3:$4</definedName>
    <definedName name="标题区域..BO60">项目进度甘特图!$B$3:$B$4</definedName>
    <definedName name="超出完成百分比">(项目进度甘特图!A$4=MEDIAN(项目进度甘特图!A$4,项目进度甘特图!$F1,项目进度甘特图!$F1+项目进度甘特图!$G1)*(项目进度甘特图!$F1&gt;0))*((项目进度甘特图!A$4&lt;(INT(项目进度甘特图!$F1+项目进度甘特图!$G1*项目进度甘特图!$I1)))+(项目进度甘特图!A$4=项目进度甘特图!$F1))*(项目进度甘特图!$I1&gt;0)</definedName>
    <definedName name="计划的时间段">项目进度甘特图!A$4=MEDIAN(项目进度甘特图!A$4,项目进度甘特图!$C1,项目进度甘特图!$C1+项目进度甘特图!$D1-1)</definedName>
    <definedName name="计划工期">计划的时间段*(项目进度甘特图!$C1&gt;0)</definedName>
    <definedName name="计划累计工期">IF(OR(项目进度甘特图!$C1&lt;周期_已选择,项目进度甘特图!$C1=周期_已选择),IF(AND((项目进度甘特图!$C1+项目进度甘特图!$D1-1)&gt;周期_已选择,OR(项目进度甘特图!$C1&lt;周期_已选择,项目进度甘特图!$C1=周期_已选择)),周期_已选择-项目进度甘特图!$C1+1,项目进度甘特图!$D1),0)</definedName>
    <definedName name="计划累计工时">计划累计工期*项目进度甘特图!$Q$2</definedName>
    <definedName name="实际超出">实际的时间段*(项目进度甘特图!$F1&gt;0)</definedName>
    <definedName name="实际的时间段">项目进度甘特图!A$4=MEDIAN(项目进度甘特图!A$4,项目进度甘特图!$F1,项目进度甘特图!$F1+项目进度甘特图!$G1-1)</definedName>
    <definedName name="实际工期">实际超出*计划的时间段</definedName>
    <definedName name="实际累计工期">IF(OR(项目进度甘特图!$F1&lt;周期_已选择,项目进度甘特图!$F1=周期_已选择),IF(AND((项目进度甘特图!$F1+项目进度甘特图!$G1-1)&gt;周期_已选择,OR(项目进度甘特图!$F1&lt;周期_已选择,项目进度甘特图!$F1=周期_已选择)),周期_已选择-项目进度甘特图!$F1+1,项目进度甘特图!$G1),0)</definedName>
    <definedName name="实际累计工时">实际累计工期*项目进度甘特图!$Q$2</definedName>
    <definedName name="完成百分比">超出完成百分比*计划的时间段</definedName>
    <definedName name="周期_已选择">项目进度甘特图!$J$2</definedName>
  </definedNames>
  <calcPr calcId="162913" concurrentCalc="0"/>
</workbook>
</file>

<file path=xl/calcChain.xml><?xml version="1.0" encoding="utf-8"?>
<calcChain xmlns="http://schemas.openxmlformats.org/spreadsheetml/2006/main">
  <c r="B4" i="2" l="1"/>
  <c r="D4" i="2"/>
  <c r="H8" i="1"/>
  <c r="D7" i="2"/>
  <c r="D9" i="2"/>
  <c r="B9" i="2"/>
  <c r="B7" i="2"/>
  <c r="H16" i="1"/>
  <c r="H6" i="1"/>
  <c r="H7" i="1"/>
  <c r="H9" i="1"/>
  <c r="H10" i="1"/>
  <c r="H11" i="1"/>
  <c r="H12" i="1"/>
  <c r="H13" i="1"/>
  <c r="H14" i="1"/>
  <c r="H15" i="1"/>
  <c r="H5" i="1"/>
  <c r="E16" i="1"/>
  <c r="E15" i="1"/>
  <c r="E6" i="1"/>
  <c r="E7" i="1"/>
  <c r="E8" i="1"/>
  <c r="E9" i="1"/>
  <c r="E10" i="1"/>
  <c r="E11" i="1"/>
  <c r="E12" i="1"/>
  <c r="E13" i="1"/>
  <c r="E14" i="1"/>
  <c r="E5" i="1"/>
  <c r="D5" i="2"/>
  <c r="D6" i="2"/>
  <c r="D11" i="2"/>
  <c r="B5" i="2"/>
  <c r="B6" i="2"/>
  <c r="B11" i="2"/>
  <c r="D13" i="2"/>
  <c r="C15" i="2"/>
  <c r="B14" i="2"/>
  <c r="D14" i="2"/>
  <c r="B13" i="2"/>
</calcChain>
</file>

<file path=xl/sharedStrings.xml><?xml version="1.0" encoding="utf-8"?>
<sst xmlns="http://schemas.openxmlformats.org/spreadsheetml/2006/main" count="57" uniqueCount="54">
  <si>
    <t>计划开始时间</t>
  </si>
  <si>
    <t>计划工期</t>
  </si>
  <si>
    <t>实际开始时间</t>
  </si>
  <si>
    <t>实际工期</t>
  </si>
  <si>
    <t>完成百分比</t>
  </si>
  <si>
    <t>突出显示的日期：</t>
  </si>
  <si>
    <t>日期</t>
  </si>
  <si>
    <t>项目开启会议</t>
  </si>
  <si>
    <t>客户需求调研</t>
  </si>
  <si>
    <t>客户需求整理</t>
  </si>
  <si>
    <t>项目任务分解</t>
  </si>
  <si>
    <t>任务1</t>
  </si>
  <si>
    <t>任务2</t>
  </si>
  <si>
    <t>任务3</t>
  </si>
  <si>
    <t>技术传输</t>
  </si>
  <si>
    <t>系统配置</t>
  </si>
  <si>
    <t>系统调试</t>
  </si>
  <si>
    <t>客户培训</t>
  </si>
  <si>
    <t>项目验收</t>
  </si>
  <si>
    <t>超出完成百分比</t>
  </si>
  <si>
    <t>计划外工期</t>
  </si>
  <si>
    <t>使用说明</t>
  </si>
  <si>
    <t>工作日时长（h）：</t>
  </si>
  <si>
    <t>计划/完成百分比</t>
  </si>
  <si>
    <t>计划累计工时</t>
  </si>
  <si>
    <t>实际累计工时</t>
  </si>
  <si>
    <t>当前日期</t>
  </si>
  <si>
    <t>项目实际总工时(h)</t>
  </si>
  <si>
    <t>项目计划总工时(h)</t>
  </si>
  <si>
    <t>项目计划总天数(d)</t>
  </si>
  <si>
    <t>项目实际总天数(d)</t>
  </si>
  <si>
    <t>工作日时长(h)</t>
  </si>
  <si>
    <t>完工预算BAC(元)</t>
  </si>
  <si>
    <t>计划价值PV(元)</t>
  </si>
  <si>
    <t>实际/完成百分比</t>
  </si>
  <si>
    <t>挣值EV(元)</t>
  </si>
  <si>
    <t>进度绩效指数SPI</t>
  </si>
  <si>
    <t>进度差异SV</t>
  </si>
  <si>
    <t>成本绩效指数CPI</t>
  </si>
  <si>
    <t>项目进度分析</t>
  </si>
  <si>
    <t>在【项目甘特图】中设置工作日时长，项目的所有子项任务名，并输入计划开始时间和计划工期。按照项目的实际进展情况，输入实际开始时间和实际工期。右侧的甘特图会自动填充指示条。</t>
  </si>
  <si>
    <t>在【项目甘特图】中设置当前工作日(高亮)，表单会自动计算各任务当前计划和实际累计完成的工时。</t>
  </si>
  <si>
    <t>【项目汇总信息】中会根据甘特图的输入，自动计算各类项目进度参数，帮助您了解当前项目进度是否落后。</t>
  </si>
  <si>
    <t>当前计划总工时(h)</t>
  </si>
  <si>
    <t>当前实际总工时(h)</t>
  </si>
  <si>
    <t>进度预算参考</t>
  </si>
  <si>
    <t>目前实际花费AC(元)</t>
  </si>
  <si>
    <t>成本差异CV</t>
  </si>
  <si>
    <t>到完成时的绩效指数(TCPI)</t>
  </si>
  <si>
    <t>项目进度管理模板</t>
  </si>
  <si>
    <t xml:space="preserve">完成百分比 </t>
  </si>
  <si>
    <t>阶段名称</t>
  </si>
  <si>
    <r>
      <rPr>
        <b/>
        <sz val="18"/>
        <color theme="1"/>
        <rFont val="印品溜溜圆"/>
        <charset val="134"/>
      </rPr>
      <t>项目参数分析</t>
    </r>
    <r>
      <rPr>
        <sz val="18"/>
        <color theme="1"/>
        <rFont val="印品溜溜圆"/>
        <charset val="134"/>
      </rPr>
      <t xml:space="preserve">：
       1. </t>
    </r>
    <r>
      <rPr>
        <b/>
        <sz val="18"/>
        <color theme="1"/>
        <rFont val="印品溜溜圆"/>
        <charset val="134"/>
      </rPr>
      <t>CPI大于等于1，而且CV为正值</t>
    </r>
    <r>
      <rPr>
        <sz val="18"/>
        <color theme="1"/>
        <rFont val="印品溜溜圆"/>
        <charset val="134"/>
      </rPr>
      <t xml:space="preserve">： 说明项目交付的价值大于他的成本；
       2. </t>
    </r>
    <r>
      <rPr>
        <b/>
        <sz val="18"/>
        <color theme="1"/>
        <rFont val="印品溜溜圆"/>
        <charset val="134"/>
      </rPr>
      <t>CPI小于1，而且CV为负值</t>
    </r>
    <r>
      <rPr>
        <sz val="18"/>
        <color theme="1"/>
        <rFont val="印品溜溜圆"/>
        <charset val="134"/>
      </rPr>
      <t>： 说明你的组织未能从此项目得到与投入相当的价值。</t>
    </r>
  </si>
  <si>
    <t>项目管理EXCEL套表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</si>
</sst>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9">
    <font>
      <sz val="11"/>
      <color theme="1" tint="0.24994659260841701"/>
      <name val="Microsoft YaHei UI"/>
      <family val="2"/>
      <charset val="134"/>
    </font>
    <font>
      <sz val="9"/>
      <name val="Corbel"/>
      <family val="3"/>
      <charset val="134"/>
      <scheme val="major"/>
    </font>
    <font>
      <b/>
      <sz val="42"/>
      <color theme="7"/>
      <name val="Microsoft YaHei UI"/>
      <family val="2"/>
      <charset val="134"/>
    </font>
    <font>
      <sz val="11"/>
      <color theme="1" tint="0.24994659260841701"/>
      <name val="Microsoft YaHei UI"/>
      <family val="2"/>
      <charset val="134"/>
    </font>
    <font>
      <i/>
      <sz val="11"/>
      <color theme="7"/>
      <name val="Microsoft YaHei UI"/>
      <family val="2"/>
      <charset val="134"/>
    </font>
    <font>
      <b/>
      <sz val="11"/>
      <color theme="1" tint="0.24994659260841701"/>
      <name val="Microsoft YaHei UI"/>
      <family val="2"/>
      <charset val="134"/>
    </font>
    <font>
      <sz val="12"/>
      <color theme="1" tint="0.24994659260841701"/>
      <name val="Microsoft YaHei UI"/>
      <family val="2"/>
      <charset val="134"/>
    </font>
    <font>
      <b/>
      <sz val="11"/>
      <color theme="1" tint="0.34998626667073579"/>
      <name val="Microsoft YaHei UI"/>
      <family val="2"/>
      <charset val="134"/>
    </font>
    <font>
      <b/>
      <sz val="13"/>
      <color theme="1" tint="0.24994659260841701"/>
      <name val="Microsoft YaHei UI"/>
      <family val="2"/>
      <charset val="134"/>
    </font>
    <font>
      <b/>
      <sz val="13"/>
      <color theme="7"/>
      <name val="Microsoft YaHei UI"/>
      <family val="2"/>
      <charset val="134"/>
    </font>
    <font>
      <sz val="14"/>
      <color theme="1" tint="0.24994659260841701"/>
      <name val="Microsoft YaHei UI"/>
      <family val="2"/>
      <charset val="134"/>
    </font>
    <font>
      <b/>
      <sz val="11"/>
      <color rgb="FFFA7D00"/>
      <name val="Microsoft YaHei UI"/>
      <family val="2"/>
      <charset val="134"/>
    </font>
    <font>
      <b/>
      <sz val="11"/>
      <color theme="1"/>
      <name val="Microsoft YaHei UI"/>
      <family val="2"/>
      <charset val="134"/>
    </font>
    <font>
      <sz val="11"/>
      <color rgb="FFFA7D00"/>
      <name val="Microsoft YaHei UI"/>
      <family val="2"/>
      <charset val="134"/>
    </font>
    <font>
      <sz val="11"/>
      <color rgb="FFFF0000"/>
      <name val="Microsoft YaHei UI"/>
      <family val="2"/>
      <charset val="134"/>
    </font>
    <font>
      <sz val="11"/>
      <color rgb="FF3F3F76"/>
      <name val="Microsoft YaHei UI"/>
      <family val="2"/>
      <charset val="134"/>
    </font>
    <font>
      <sz val="42"/>
      <color theme="7"/>
      <name val="Microsoft YaHei UI"/>
      <family val="2"/>
      <charset val="134"/>
    </font>
    <font>
      <i/>
      <sz val="12"/>
      <color theme="7"/>
      <name val="Microsoft YaHei UI"/>
      <family val="2"/>
      <charset val="134"/>
    </font>
    <font>
      <sz val="12"/>
      <color rgb="FF333333"/>
      <name val="Arial"/>
      <family val="2"/>
    </font>
    <font>
      <sz val="11"/>
      <color rgb="FF212121"/>
      <name val="Microsoft YaHei"/>
      <family val="2"/>
      <charset val="134"/>
    </font>
    <font>
      <i/>
      <sz val="12"/>
      <name val="Microsoft YaHei UI"/>
      <family val="2"/>
      <charset val="134"/>
    </font>
    <font>
      <sz val="11"/>
      <color theme="1" tint="0.24994659260841701"/>
      <name val="字魂58号-创中黑"/>
      <charset val="134"/>
    </font>
    <font>
      <b/>
      <sz val="48"/>
      <color theme="0"/>
      <name val="字魂58号-创中黑"/>
      <charset val="134"/>
    </font>
    <font>
      <b/>
      <sz val="14"/>
      <color theme="1" tint="0.24994659260841701"/>
      <name val="印品溜溜圆"/>
      <charset val="134"/>
    </font>
    <font>
      <b/>
      <sz val="48"/>
      <color rgb="FF92D050"/>
      <name val="印品溜溜圆"/>
      <charset val="134"/>
    </font>
    <font>
      <b/>
      <sz val="11"/>
      <color theme="1" tint="0.24994659260841701"/>
      <name val="印品溜溜圆"/>
      <charset val="134"/>
    </font>
    <font>
      <sz val="11"/>
      <color theme="1" tint="0.24994659260841701"/>
      <name val="印品溜溜圆"/>
      <charset val="134"/>
    </font>
    <font>
      <b/>
      <sz val="12"/>
      <color theme="1" tint="0.24994659260841701"/>
      <name val="印品溜溜圆"/>
      <charset val="134"/>
    </font>
    <font>
      <b/>
      <sz val="14"/>
      <color theme="1" tint="0.34998626667073579"/>
      <name val="印品溜溜圆"/>
      <charset val="134"/>
    </font>
    <font>
      <b/>
      <sz val="16"/>
      <color theme="1" tint="0.34998626667073579"/>
      <name val="印品溜溜圆"/>
      <charset val="134"/>
    </font>
    <font>
      <b/>
      <sz val="13"/>
      <color theme="7"/>
      <name val="印品溜溜圆"/>
      <charset val="134"/>
    </font>
    <font>
      <sz val="14"/>
      <color theme="1" tint="0.24994659260841701"/>
      <name val="印品溜溜圆"/>
      <charset val="134"/>
    </font>
    <font>
      <b/>
      <sz val="18"/>
      <color theme="1" tint="0.24994659260841701"/>
      <name val="印品溜溜圆"/>
      <charset val="134"/>
    </font>
    <font>
      <b/>
      <sz val="24"/>
      <color theme="1" tint="0.34998626667073579"/>
      <name val="印品溜溜圆"/>
      <charset val="134"/>
    </font>
    <font>
      <sz val="18"/>
      <color theme="1"/>
      <name val="印品溜溜圆"/>
      <charset val="134"/>
    </font>
    <font>
      <b/>
      <sz val="18"/>
      <color theme="1"/>
      <name val="印品溜溜圆"/>
      <charset val="134"/>
    </font>
    <font>
      <b/>
      <sz val="36"/>
      <color theme="0"/>
      <name val="印品溜溜圆"/>
      <charset val="134"/>
    </font>
    <font>
      <b/>
      <sz val="36"/>
      <color theme="2"/>
      <name val="印品溜溜圆"/>
      <charset val="134"/>
    </font>
    <font>
      <sz val="9"/>
      <name val="Microsoft YaHei UI"/>
      <family val="2"/>
      <charset val="134"/>
    </font>
  </fonts>
  <fills count="21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lightDown">
        <fgColor theme="7"/>
        <bgColor theme="9" tint="0.59996337778862885"/>
      </patternFill>
    </fill>
    <fill>
      <patternFill patternType="solid">
        <fgColor theme="4" tint="0.79998168889431442"/>
        <bgColor indexed="64"/>
      </patternFill>
    </fill>
    <fill>
      <patternFill patternType="lightDown">
        <fgColor theme="2" tint="-0.499984740745262"/>
        <bgColor indexed="65"/>
      </patternFill>
    </fill>
    <fill>
      <patternFill patternType="lightDown">
        <fgColor theme="7"/>
        <bgColor rgb="FF92D050"/>
      </patternFill>
    </fill>
    <fill>
      <patternFill patternType="solid">
        <fgColor theme="9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5117038483843"/>
        <bgColor theme="4" tint="0.79995117038483843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slantDashDot">
        <color theme="3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3">
    <xf numFmtId="0" fontId="0" fillId="0" borderId="0" applyNumberFormat="0" applyFill="0" applyBorder="0" applyProtection="0">
      <alignment horizontal="center" vertical="center"/>
    </xf>
    <xf numFmtId="0" fontId="2" fillId="0" borderId="0" applyNumberFormat="0" applyFill="0" applyBorder="0" applyAlignment="0" applyProtection="0"/>
    <xf numFmtId="0" fontId="8" fillId="0" borderId="0" applyFill="0" applyBorder="0" applyProtection="0">
      <alignment horizontal="left" wrapText="1"/>
    </xf>
    <xf numFmtId="3" fontId="7" fillId="0" borderId="2" applyFill="0" applyProtection="0">
      <alignment horizontal="center"/>
    </xf>
    <xf numFmtId="0" fontId="7" fillId="0" borderId="0" applyFill="0" applyBorder="0" applyProtection="0">
      <alignment horizontal="center" wrapText="1"/>
    </xf>
    <xf numFmtId="0" fontId="10" fillId="0" borderId="0" applyNumberFormat="0" applyFill="0" applyBorder="0" applyProtection="0">
      <alignment horizontal="left" vertical="center"/>
    </xf>
    <xf numFmtId="9" fontId="9" fillId="0" borderId="0" applyFill="0" applyBorder="0" applyProtection="0">
      <alignment horizontal="center" vertical="center"/>
    </xf>
    <xf numFmtId="0" fontId="5" fillId="5" borderId="1" applyNumberFormat="0" applyProtection="0">
      <alignment horizontal="left" vertical="center"/>
    </xf>
    <xf numFmtId="0" fontId="2" fillId="0" borderId="0" applyNumberFormat="0" applyFill="0" applyBorder="0" applyProtection="0">
      <alignment vertical="center"/>
    </xf>
    <xf numFmtId="0" fontId="7" fillId="0" borderId="0" applyFill="0" applyProtection="0">
      <alignment vertical="center"/>
    </xf>
    <xf numFmtId="0" fontId="7" fillId="0" borderId="0" applyFill="0" applyProtection="0">
      <alignment horizontal="center" vertical="center" wrapText="1"/>
    </xf>
    <xf numFmtId="0" fontId="7" fillId="0" borderId="0" applyFill="0" applyProtection="0">
      <alignment horizontal="left"/>
    </xf>
    <xf numFmtId="0" fontId="4" fillId="0" borderId="0" applyNumberFormat="0" applyFill="0" applyBorder="0" applyProtection="0">
      <alignment vertical="center"/>
    </xf>
    <xf numFmtId="1" fontId="6" fillId="5" borderId="1">
      <alignment horizontal="center" vertical="center"/>
    </xf>
    <xf numFmtId="0" fontId="3" fillId="2" borderId="4" applyNumberFormat="0" applyAlignment="0">
      <alignment horizontal="center"/>
    </xf>
    <xf numFmtId="0" fontId="3" fillId="3" borderId="3" applyNumberFormat="0" applyAlignment="0">
      <alignment horizontal="center"/>
    </xf>
    <xf numFmtId="0" fontId="3" fillId="4" borderId="3" applyNumberFormat="0" applyAlignment="0">
      <alignment horizontal="center"/>
    </xf>
    <xf numFmtId="0" fontId="3" fillId="6" borderId="3" applyNumberFormat="0" applyAlignment="0">
      <alignment horizontal="center"/>
    </xf>
    <xf numFmtId="0" fontId="15" fillId="7" borderId="7" applyNumberFormat="0" applyAlignment="0" applyProtection="0">
      <alignment vertical="center"/>
    </xf>
    <xf numFmtId="0" fontId="11" fillId="8" borderId="7" applyNumberFormat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2" fillId="0" borderId="9" applyNumberFormat="0" applyFill="0" applyAlignment="0" applyProtection="0">
      <alignment vertical="center"/>
    </xf>
  </cellStyleXfs>
  <cellXfs count="80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8" fillId="0" borderId="0" xfId="2">
      <alignment horizontal="left" wrapText="1"/>
    </xf>
    <xf numFmtId="9" fontId="9" fillId="0" borderId="0" xfId="6">
      <alignment horizontal="center" vertical="center"/>
    </xf>
    <xf numFmtId="0" fontId="0" fillId="0" borderId="0" xfId="0" applyAlignment="1">
      <alignment vertical="center" wrapText="1"/>
    </xf>
    <xf numFmtId="0" fontId="2" fillId="0" borderId="0" xfId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horizontal="center" vertical="center"/>
    </xf>
    <xf numFmtId="0" fontId="7" fillId="0" borderId="0" xfId="4" applyFont="1" applyAlignment="1">
      <alignment horizontal="center" wrapText="1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6" fillId="0" borderId="0" xfId="1" applyFont="1" applyAlignment="1">
      <alignment horizontal="center"/>
    </xf>
    <xf numFmtId="0" fontId="0" fillId="16" borderId="0" xfId="0" applyFill="1">
      <alignment horizontal="center" vertical="center"/>
    </xf>
    <xf numFmtId="0" fontId="17" fillId="0" borderId="0" xfId="12" applyFont="1" applyAlignment="1">
      <alignment vertical="center" wrapText="1"/>
    </xf>
    <xf numFmtId="3" fontId="0" fillId="0" borderId="0" xfId="0" applyNumberFormat="1" applyAlignment="1">
      <alignment horizontal="center"/>
    </xf>
    <xf numFmtId="0" fontId="8" fillId="0" borderId="0" xfId="2" applyAlignment="1">
      <alignment horizontal="left" wrapText="1"/>
    </xf>
    <xf numFmtId="0" fontId="18" fillId="0" borderId="0" xfId="0" applyFont="1" applyAlignment="1">
      <alignment horizontal="center"/>
    </xf>
    <xf numFmtId="0" fontId="19" fillId="0" borderId="0" xfId="0" applyFont="1">
      <alignment horizontal="center" vertical="center"/>
    </xf>
    <xf numFmtId="0" fontId="0" fillId="0" borderId="0" xfId="0" applyAlignment="1">
      <alignment horizontal="left"/>
    </xf>
    <xf numFmtId="0" fontId="0" fillId="0" borderId="0" xfId="0" applyBorder="1">
      <alignment horizontal="center" vertical="center"/>
    </xf>
    <xf numFmtId="0" fontId="21" fillId="0" borderId="0" xfId="0" applyFont="1">
      <alignment horizontal="center" vertical="center"/>
    </xf>
    <xf numFmtId="0" fontId="23" fillId="0" borderId="0" xfId="0" applyFont="1">
      <alignment horizontal="center" vertical="center"/>
    </xf>
    <xf numFmtId="0" fontId="24" fillId="0" borderId="0" xfId="8" applyFont="1">
      <alignment vertical="center"/>
    </xf>
    <xf numFmtId="0" fontId="25" fillId="10" borderId="0" xfId="7" applyFont="1" applyFill="1" applyBorder="1" applyAlignment="1">
      <alignment horizontal="left" vertical="center" wrapText="1"/>
    </xf>
    <xf numFmtId="0" fontId="26" fillId="0" borderId="0" xfId="0" applyFont="1" applyAlignment="1">
      <alignment horizontal="center" wrapText="1"/>
    </xf>
    <xf numFmtId="0" fontId="26" fillId="0" borderId="0" xfId="0" applyFont="1" applyAlignment="1">
      <alignment horizontal="center" vertical="center" wrapText="1"/>
    </xf>
    <xf numFmtId="0" fontId="26" fillId="11" borderId="4" xfId="14" applyFont="1" applyFill="1" applyAlignment="1">
      <alignment horizontal="center" wrapText="1"/>
    </xf>
    <xf numFmtId="0" fontId="26" fillId="0" borderId="0" xfId="0" applyFont="1" applyAlignment="1">
      <alignment horizontal="left" vertical="center" wrapText="1"/>
    </xf>
    <xf numFmtId="0" fontId="26" fillId="12" borderId="3" xfId="15" applyFont="1" applyFill="1" applyAlignment="1">
      <alignment horizontal="left" vertical="center" wrapText="1"/>
    </xf>
    <xf numFmtId="0" fontId="26" fillId="14" borderId="3" xfId="6" applyNumberFormat="1" applyFont="1" applyFill="1" applyBorder="1" applyAlignment="1">
      <alignment horizontal="left" wrapText="1"/>
    </xf>
    <xf numFmtId="0" fontId="26" fillId="9" borderId="3" xfId="16" applyFont="1" applyFill="1" applyAlignment="1">
      <alignment horizontal="left" wrapText="1"/>
    </xf>
    <xf numFmtId="0" fontId="26" fillId="13" borderId="3" xfId="17" applyFont="1" applyFill="1" applyAlignment="1">
      <alignment horizontal="left" vertical="center" wrapText="1"/>
    </xf>
    <xf numFmtId="1" fontId="26" fillId="10" borderId="0" xfId="13" applyFont="1" applyFill="1" applyBorder="1" applyAlignment="1">
      <alignment horizontal="center" vertical="center" wrapText="1"/>
    </xf>
    <xf numFmtId="1" fontId="26" fillId="19" borderId="0" xfId="13" applyFont="1" applyFill="1" applyBorder="1" applyAlignment="1">
      <alignment horizontal="center" vertical="center" wrapText="1"/>
    </xf>
    <xf numFmtId="0" fontId="26" fillId="0" borderId="0" xfId="0" applyFont="1">
      <alignment horizontal="center" vertical="center"/>
    </xf>
    <xf numFmtId="9" fontId="30" fillId="0" borderId="0" xfId="6" applyFont="1">
      <alignment horizontal="center" vertical="center"/>
    </xf>
    <xf numFmtId="0" fontId="26" fillId="0" borderId="0" xfId="0" applyFont="1" applyAlignment="1">
      <alignment horizontal="center"/>
    </xf>
    <xf numFmtId="9" fontId="30" fillId="0" borderId="10" xfId="6" applyFont="1" applyBorder="1">
      <alignment horizontal="center" vertical="center"/>
    </xf>
    <xf numFmtId="0" fontId="26" fillId="0" borderId="0" xfId="0" applyFont="1" applyBorder="1" applyAlignment="1">
      <alignment horizontal="center"/>
    </xf>
    <xf numFmtId="0" fontId="26" fillId="0" borderId="0" xfId="0" applyFont="1" applyBorder="1">
      <alignment horizontal="center" vertical="center"/>
    </xf>
    <xf numFmtId="0" fontId="32" fillId="0" borderId="0" xfId="2" applyFont="1">
      <alignment horizontal="left" wrapText="1"/>
    </xf>
    <xf numFmtId="0" fontId="32" fillId="0" borderId="0" xfId="2" applyFont="1" applyBorder="1">
      <alignment horizontal="left" wrapText="1"/>
    </xf>
    <xf numFmtId="0" fontId="32" fillId="0" borderId="0" xfId="0" applyFont="1" applyAlignment="1">
      <alignment horizontal="center"/>
    </xf>
    <xf numFmtId="0" fontId="27" fillId="0" borderId="0" xfId="0" applyFont="1" applyAlignment="1">
      <alignment horizontal="center"/>
    </xf>
    <xf numFmtId="0" fontId="32" fillId="0" borderId="0" xfId="0" quotePrefix="1" applyFont="1" applyAlignment="1">
      <alignment horizontal="center"/>
    </xf>
    <xf numFmtId="0" fontId="32" fillId="0" borderId="10" xfId="0" applyFont="1" applyBorder="1" applyAlignment="1">
      <alignment horizontal="center"/>
    </xf>
    <xf numFmtId="0" fontId="27" fillId="0" borderId="10" xfId="0" applyFont="1" applyBorder="1" applyAlignment="1">
      <alignment horizontal="center"/>
    </xf>
    <xf numFmtId="0" fontId="29" fillId="0" borderId="0" xfId="11" applyFont="1">
      <alignment horizontal="left"/>
    </xf>
    <xf numFmtId="3" fontId="28" fillId="0" borderId="2" xfId="3" applyFont="1">
      <alignment horizontal="center"/>
    </xf>
    <xf numFmtId="0" fontId="31" fillId="0" borderId="0" xfId="0" applyFont="1">
      <alignment horizontal="center" vertical="center"/>
    </xf>
    <xf numFmtId="0" fontId="34" fillId="17" borderId="12" xfId="0" applyNumberFormat="1" applyFont="1" applyFill="1" applyBorder="1" applyAlignment="1" applyProtection="1">
      <alignment horizontal="center" vertical="center"/>
    </xf>
    <xf numFmtId="0" fontId="34" fillId="17" borderId="0" xfId="0" applyNumberFormat="1" applyFont="1" applyFill="1" applyBorder="1" applyAlignment="1" applyProtection="1">
      <alignment vertical="center" wrapText="1"/>
    </xf>
    <xf numFmtId="0" fontId="34" fillId="18" borderId="12" xfId="0" applyNumberFormat="1" applyFont="1" applyFill="1" applyBorder="1" applyAlignment="1" applyProtection="1">
      <alignment horizontal="center" vertical="center"/>
    </xf>
    <xf numFmtId="0" fontId="34" fillId="18" borderId="0" xfId="0" applyNumberFormat="1" applyFont="1" applyFill="1" applyBorder="1" applyAlignment="1" applyProtection="1">
      <alignment vertical="center" wrapText="1"/>
    </xf>
    <xf numFmtId="0" fontId="27" fillId="0" borderId="11" xfId="0" applyFont="1" applyBorder="1" applyAlignment="1">
      <alignment horizontal="right" vertical="center"/>
    </xf>
    <xf numFmtId="4" fontId="27" fillId="0" borderId="11" xfId="0" applyNumberFormat="1" applyFont="1" applyBorder="1">
      <alignment horizontal="center" vertical="center"/>
    </xf>
    <xf numFmtId="0" fontId="27" fillId="0" borderId="0" xfId="0" applyFont="1" applyBorder="1" applyAlignment="1">
      <alignment horizontal="right" vertical="center"/>
    </xf>
    <xf numFmtId="4" fontId="27" fillId="0" borderId="0" xfId="0" applyNumberFormat="1" applyFont="1" applyBorder="1">
      <alignment horizontal="center" vertical="center"/>
    </xf>
    <xf numFmtId="0" fontId="27" fillId="0" borderId="10" xfId="0" applyFont="1" applyBorder="1" applyAlignment="1">
      <alignment horizontal="right" vertical="center"/>
    </xf>
    <xf numFmtId="4" fontId="27" fillId="0" borderId="10" xfId="0" applyNumberFormat="1" applyFont="1" applyBorder="1">
      <alignment horizontal="center" vertical="center"/>
    </xf>
    <xf numFmtId="0" fontId="22" fillId="15" borderId="0" xfId="0" applyFont="1" applyFill="1" applyAlignment="1">
      <alignment horizontal="center" vertical="center"/>
    </xf>
    <xf numFmtId="0" fontId="37" fillId="15" borderId="11" xfId="0" applyFont="1" applyFill="1" applyBorder="1" applyAlignment="1">
      <alignment horizontal="center" vertical="center"/>
    </xf>
    <xf numFmtId="0" fontId="37" fillId="15" borderId="0" xfId="0" applyFont="1" applyFill="1" applyBorder="1" applyAlignment="1">
      <alignment horizontal="center" vertical="center"/>
    </xf>
    <xf numFmtId="0" fontId="37" fillId="15" borderId="10" xfId="0" applyFont="1" applyFill="1" applyBorder="1" applyAlignment="1">
      <alignment horizontal="center" vertical="center"/>
    </xf>
    <xf numFmtId="0" fontId="27" fillId="20" borderId="13" xfId="0" applyFont="1" applyFill="1" applyBorder="1" applyAlignment="1">
      <alignment horizontal="center" vertical="center"/>
    </xf>
    <xf numFmtId="2" fontId="27" fillId="20" borderId="13" xfId="0" applyNumberFormat="1" applyFont="1" applyFill="1" applyBorder="1" applyAlignment="1">
      <alignment horizontal="center" vertical="center"/>
    </xf>
    <xf numFmtId="0" fontId="26" fillId="0" borderId="5" xfId="5" applyFont="1" applyBorder="1" applyAlignment="1">
      <alignment horizontal="left" vertical="center" wrapText="1"/>
    </xf>
    <xf numFmtId="0" fontId="26" fillId="0" borderId="0" xfId="5" applyFont="1" applyBorder="1" applyAlignment="1">
      <alignment horizontal="left" vertical="center" wrapText="1"/>
    </xf>
    <xf numFmtId="0" fontId="29" fillId="0" borderId="0" xfId="10" applyFont="1" applyBorder="1">
      <alignment horizontal="center" vertical="center" wrapText="1"/>
    </xf>
    <xf numFmtId="0" fontId="29" fillId="0" borderId="2" xfId="10" applyFont="1" applyBorder="1">
      <alignment horizontal="center" vertical="center" wrapText="1"/>
    </xf>
    <xf numFmtId="0" fontId="33" fillId="0" borderId="0" xfId="9" applyFont="1">
      <alignment vertical="center"/>
    </xf>
    <xf numFmtId="0" fontId="33" fillId="0" borderId="2" xfId="9" applyFont="1" applyBorder="1">
      <alignment vertical="center"/>
    </xf>
    <xf numFmtId="0" fontId="29" fillId="0" borderId="0" xfId="10" applyFont="1" applyAlignment="1">
      <alignment horizontal="center" vertical="center" wrapText="1"/>
    </xf>
    <xf numFmtId="0" fontId="29" fillId="0" borderId="2" xfId="10" applyFont="1" applyBorder="1" applyAlignment="1">
      <alignment horizontal="center" vertical="center" wrapText="1"/>
    </xf>
    <xf numFmtId="0" fontId="20" fillId="0" borderId="0" xfId="12" applyFont="1" applyAlignment="1">
      <alignment horizontal="center" vertical="center" wrapText="1"/>
    </xf>
    <xf numFmtId="0" fontId="25" fillId="19" borderId="0" xfId="7" applyFont="1" applyFill="1" applyBorder="1" applyAlignment="1">
      <alignment horizontal="left" vertical="center" wrapText="1"/>
    </xf>
    <xf numFmtId="0" fontId="26" fillId="0" borderId="6" xfId="5" applyFont="1" applyBorder="1" applyAlignment="1">
      <alignment horizontal="left" vertical="center" wrapText="1"/>
    </xf>
    <xf numFmtId="0" fontId="36" fillId="15" borderId="0" xfId="0" applyFont="1" applyFill="1" applyAlignment="1">
      <alignment horizontal="center" vertical="center"/>
    </xf>
  </cellXfs>
  <cellStyles count="23">
    <cellStyle name="标签" xfId="5"/>
    <cellStyle name="标题" xfId="8" builtinId="15" customBuiltin="1"/>
    <cellStyle name="标题 1" xfId="1" builtinId="16" customBuiltin="1"/>
    <cellStyle name="标题 2" xfId="9" builtinId="17" customBuiltin="1"/>
    <cellStyle name="标题 3" xfId="10" builtinId="18" customBuiltin="1"/>
    <cellStyle name="标题 4" xfId="11" builtinId="19" customBuiltin="1"/>
    <cellStyle name="常规" xfId="0" builtinId="0" customBuiltin="1"/>
    <cellStyle name="汇总" xfId="22" builtinId="25" customBuiltin="1"/>
    <cellStyle name="活动" xfId="2"/>
    <cellStyle name="计划图例" xfId="14"/>
    <cellStyle name="计算" xfId="19" builtinId="22" customBuiltin="1"/>
    <cellStyle name="解释性文本" xfId="12" builtinId="53" customBuiltin="1"/>
    <cellStyle name="警告文本" xfId="21" builtinId="11" customBuiltin="1"/>
    <cellStyle name="链接单元格" xfId="20" builtinId="24" customBuiltin="1"/>
    <cellStyle name="实际（超出计划）图例" xfId="16"/>
    <cellStyle name="实际图例" xfId="15"/>
    <cellStyle name="输入" xfId="18" builtinId="20" customBuiltin="1"/>
    <cellStyle name="完成（超出计划）百分比图例" xfId="17"/>
    <cellStyle name="完成百分比" xfId="6"/>
    <cellStyle name="项目标题" xfId="4"/>
    <cellStyle name="周期标题" xfId="3"/>
    <cellStyle name="周期突出显示控件" xfId="7"/>
    <cellStyle name="周期值" xfId="13"/>
  </cellStyles>
  <dxfs count="14">
    <dxf>
      <border>
        <top style="thin">
          <color theme="7"/>
        </top>
        <vertical/>
        <horizontal/>
      </border>
    </dxf>
    <dxf>
      <border>
        <top style="thin">
          <color theme="7"/>
        </top>
        <vertical/>
        <horizontal/>
      </border>
    </dxf>
    <dxf>
      <border>
        <top style="thin">
          <color theme="7"/>
        </top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4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Down">
          <fgColor theme="0" tint="-0.499984740745262"/>
          <bgColor auto="1"/>
        </patternFill>
      </fill>
      <border>
        <bottom style="thin">
          <color theme="0"/>
        </bottom>
      </border>
    </dxf>
    <dxf>
      <fill>
        <patternFill patternType="lightDown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Down">
          <fgColor theme="2" tint="-0.499984740745262"/>
          <bgColor rgb="FF92D050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 tint="-0.24994659260841701"/>
        </patternFill>
      </fill>
      <border>
        <bottom style="thin">
          <color theme="0"/>
        </bottom>
      </border>
    </dxf>
    <dxf>
      <fill>
        <patternFill patternType="solid">
          <fgColor theme="6" tint="0.79995117038483843"/>
          <bgColor theme="6" tint="-0.24994659260841701"/>
        </patternFill>
      </fill>
      <border>
        <bottom style="thin">
          <color theme="0"/>
        </bottom>
      </border>
    </dxf>
  </dxfs>
  <tableStyles count="0" defaultTableStyle="TableStyleMedium2" defaultPivotStyle="PivotStyleLight16"/>
  <colors>
    <mruColors>
      <color rgb="FFFF93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zh-CN" altLang="en-US" sz="1800">
                <a:solidFill>
                  <a:schemeClr val="tx1">
                    <a:lumMod val="50000"/>
                    <a:lumOff val="50000"/>
                  </a:schemeClr>
                </a:solidFill>
                <a:latin typeface="印品溜溜圆" panose="02000000000000000000" pitchFamily="2" charset="-122"/>
                <a:ea typeface="印品溜溜圆" panose="02000000000000000000" pitchFamily="2" charset="-122"/>
              </a:rPr>
              <a:t>项目计划与实际工期对比</a:t>
            </a:r>
            <a:endParaRPr lang="ja-JP" sz="1800">
              <a:solidFill>
                <a:schemeClr val="tx1">
                  <a:lumMod val="50000"/>
                  <a:lumOff val="50000"/>
                </a:schemeClr>
              </a:solidFill>
              <a:latin typeface="印品溜溜圆" panose="02000000000000000000" pitchFamily="2" charset="-122"/>
              <a:ea typeface="印品溜溜圆" panose="02000000000000000000" pitchFamily="2" charset="-122"/>
            </a:endParaRPr>
          </a:p>
        </c:rich>
      </c:tx>
      <c:layout>
        <c:manualLayout>
          <c:xMode val="edge"/>
          <c:yMode val="edge"/>
          <c:x val="0.31443627100779975"/>
          <c:y val="2.34587067149498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9.3209173044507015E-2"/>
          <c:y val="0.21272603622636441"/>
          <c:w val="0.82663142335407935"/>
          <c:h val="0.40986234560870705"/>
        </c:manualLayout>
      </c:layout>
      <c:lineChart>
        <c:grouping val="standard"/>
        <c:varyColors val="0"/>
        <c:ser>
          <c:idx val="1"/>
          <c:order val="1"/>
          <c:tx>
            <c:v>计划工期</c:v>
          </c:tx>
          <c:spPr>
            <a:ln w="190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项目进度甘特图!$B$5:$B$16</c:f>
              <c:strCache>
                <c:ptCount val="12"/>
                <c:pt idx="0">
                  <c:v>项目开启会议</c:v>
                </c:pt>
                <c:pt idx="1">
                  <c:v>客户需求调研</c:v>
                </c:pt>
                <c:pt idx="2">
                  <c:v>客户需求整理</c:v>
                </c:pt>
                <c:pt idx="3">
                  <c:v>项目任务分解</c:v>
                </c:pt>
                <c:pt idx="4">
                  <c:v>任务1</c:v>
                </c:pt>
                <c:pt idx="5">
                  <c:v>任务2</c:v>
                </c:pt>
                <c:pt idx="6">
                  <c:v>任务3</c:v>
                </c:pt>
                <c:pt idx="7">
                  <c:v>系统配置</c:v>
                </c:pt>
                <c:pt idx="8">
                  <c:v>系统调试</c:v>
                </c:pt>
                <c:pt idx="9">
                  <c:v>技术传输</c:v>
                </c:pt>
                <c:pt idx="10">
                  <c:v>客户培训</c:v>
                </c:pt>
                <c:pt idx="11">
                  <c:v>项目验收</c:v>
                </c:pt>
              </c:strCache>
            </c:strRef>
          </c:cat>
          <c:val>
            <c:numRef>
              <c:f>项目进度甘特图!$D$5:$D$16</c:f>
              <c:numCache>
                <c:formatCode>General</c:formatCode>
                <c:ptCount val="12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7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5</c:v>
                </c:pt>
                <c:pt idx="8">
                  <c:v>2</c:v>
                </c:pt>
                <c:pt idx="9">
                  <c:v>5</c:v>
                </c:pt>
                <c:pt idx="10">
                  <c:v>5</c:v>
                </c:pt>
                <c:pt idx="11">
                  <c:v>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4AB-4578-8372-C40CA70A7D75}"/>
            </c:ext>
          </c:extLst>
        </c:ser>
        <c:ser>
          <c:idx val="4"/>
          <c:order val="4"/>
          <c:tx>
            <c:v>实际工期</c:v>
          </c:tx>
          <c:spPr>
            <a:ln w="19050" cap="rnd" cmpd="sng" algn="ctr">
              <a:solidFill>
                <a:schemeClr val="accent5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项目进度甘特图!$B$5:$B$16</c:f>
              <c:strCache>
                <c:ptCount val="12"/>
                <c:pt idx="0">
                  <c:v>项目开启会议</c:v>
                </c:pt>
                <c:pt idx="1">
                  <c:v>客户需求调研</c:v>
                </c:pt>
                <c:pt idx="2">
                  <c:v>客户需求整理</c:v>
                </c:pt>
                <c:pt idx="3">
                  <c:v>项目任务分解</c:v>
                </c:pt>
                <c:pt idx="4">
                  <c:v>任务1</c:v>
                </c:pt>
                <c:pt idx="5">
                  <c:v>任务2</c:v>
                </c:pt>
                <c:pt idx="6">
                  <c:v>任务3</c:v>
                </c:pt>
                <c:pt idx="7">
                  <c:v>系统配置</c:v>
                </c:pt>
                <c:pt idx="8">
                  <c:v>系统调试</c:v>
                </c:pt>
                <c:pt idx="9">
                  <c:v>技术传输</c:v>
                </c:pt>
                <c:pt idx="10">
                  <c:v>客户培训</c:v>
                </c:pt>
                <c:pt idx="11">
                  <c:v>项目验收</c:v>
                </c:pt>
              </c:strCache>
            </c:strRef>
          </c:cat>
          <c:val>
            <c:numRef>
              <c:f>项目进度甘特图!$G$5:$G$16</c:f>
              <c:numCache>
                <c:formatCode>General</c:formatCode>
                <c:ptCount val="12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8</c:v>
                </c:pt>
                <c:pt idx="5">
                  <c:v>11</c:v>
                </c:pt>
                <c:pt idx="6">
                  <c:v>10</c:v>
                </c:pt>
                <c:pt idx="7">
                  <c:v>6</c:v>
                </c:pt>
                <c:pt idx="8">
                  <c:v>2</c:v>
                </c:pt>
                <c:pt idx="9">
                  <c:v>5</c:v>
                </c:pt>
                <c:pt idx="10">
                  <c:v>5</c:v>
                </c:pt>
                <c:pt idx="11">
                  <c:v>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4AB-4578-8372-C40CA70A7D7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4368080"/>
        <c:axId val="1024367520"/>
        <c:extLst xmlns:c16r2="http://schemas.microsoft.com/office/drawing/2015/06/chart"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spPr>
                  <a:ln w="19050" cap="rnd" cmpd="sng" algn="ctr">
                    <a:solidFill>
                      <a:schemeClr val="accent1">
                        <a:shade val="95000"/>
                        <a:satMod val="10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chemeClr val="accen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zh-CN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6r2="http://schemas.microsoft.com/office/drawing/2015/06/chart"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dk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项目进度甘特图!$B$5:$B$16</c15:sqref>
                        </c15:formulaRef>
                      </c:ext>
                    </c:extLst>
                    <c:strCache>
                      <c:ptCount val="12"/>
                      <c:pt idx="0">
                        <c:v>项目开启会议</c:v>
                      </c:pt>
                      <c:pt idx="1">
                        <c:v>客户需求调研</c:v>
                      </c:pt>
                      <c:pt idx="2">
                        <c:v>客户需求整理</c:v>
                      </c:pt>
                      <c:pt idx="3">
                        <c:v>项目任务分解</c:v>
                      </c:pt>
                      <c:pt idx="4">
                        <c:v>任务1</c:v>
                      </c:pt>
                      <c:pt idx="5">
                        <c:v>任务2</c:v>
                      </c:pt>
                      <c:pt idx="6">
                        <c:v>任务3</c:v>
                      </c:pt>
                      <c:pt idx="7">
                        <c:v>系统配置</c:v>
                      </c:pt>
                      <c:pt idx="8">
                        <c:v>系统调试</c:v>
                      </c:pt>
                      <c:pt idx="9">
                        <c:v>技术传输</c:v>
                      </c:pt>
                      <c:pt idx="10">
                        <c:v>客户培训</c:v>
                      </c:pt>
                      <c:pt idx="11">
                        <c:v>项目验收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项目进度甘特图!$C$5:$C$16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3</c:v>
                      </c:pt>
                      <c:pt idx="2">
                        <c:v>7</c:v>
                      </c:pt>
                      <c:pt idx="3">
                        <c:v>9</c:v>
                      </c:pt>
                      <c:pt idx="4">
                        <c:v>14</c:v>
                      </c:pt>
                      <c:pt idx="5">
                        <c:v>22</c:v>
                      </c:pt>
                      <c:pt idx="6">
                        <c:v>32</c:v>
                      </c:pt>
                      <c:pt idx="7">
                        <c:v>42</c:v>
                      </c:pt>
                      <c:pt idx="8">
                        <c:v>45</c:v>
                      </c:pt>
                      <c:pt idx="9">
                        <c:v>47</c:v>
                      </c:pt>
                      <c:pt idx="10">
                        <c:v>52</c:v>
                      </c:pt>
                      <c:pt idx="11">
                        <c:v>57</c:v>
                      </c:pt>
                    </c:numCache>
                  </c:numRef>
                </c: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2-A4AB-4578-8372-C40CA70A7D75}"/>
                  </c:ext>
                </c:extLst>
              </c15:ser>
            </c15:filteredLineSeries>
            <c15:filteredLineSeries>
              <c15:ser>
                <c:idx val="2"/>
                <c:order val="2"/>
                <c:spPr>
                  <a:ln w="19050" cap="rnd" cmpd="sng" algn="ctr">
                    <a:solidFill>
                      <a:schemeClr val="accent3">
                        <a:shade val="95000"/>
                        <a:satMod val="10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chemeClr val="accent3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zh-CN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6r2="http://schemas.microsoft.com/office/drawing/2015/06/chart"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dk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项目进度甘特图!$B$5:$B$16</c15:sqref>
                        </c15:formulaRef>
                      </c:ext>
                    </c:extLst>
                    <c:strCache>
                      <c:ptCount val="12"/>
                      <c:pt idx="0">
                        <c:v>项目开启会议</c:v>
                      </c:pt>
                      <c:pt idx="1">
                        <c:v>客户需求调研</c:v>
                      </c:pt>
                      <c:pt idx="2">
                        <c:v>客户需求整理</c:v>
                      </c:pt>
                      <c:pt idx="3">
                        <c:v>项目任务分解</c:v>
                      </c:pt>
                      <c:pt idx="4">
                        <c:v>任务1</c:v>
                      </c:pt>
                      <c:pt idx="5">
                        <c:v>任务2</c:v>
                      </c:pt>
                      <c:pt idx="6">
                        <c:v>任务3</c:v>
                      </c:pt>
                      <c:pt idx="7">
                        <c:v>系统配置</c:v>
                      </c:pt>
                      <c:pt idx="8">
                        <c:v>系统调试</c:v>
                      </c:pt>
                      <c:pt idx="9">
                        <c:v>技术传输</c:v>
                      </c:pt>
                      <c:pt idx="10">
                        <c:v>客户培训</c:v>
                      </c:pt>
                      <c:pt idx="11">
                        <c:v>项目验收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项目进度甘特图!$E$5:$E$16</c15:sqref>
                        </c15:formulaRef>
                      </c:ext>
                    </c:extLst>
                  </c:numRef>
                </c: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3-A4AB-4578-8372-C40CA70A7D75}"/>
                  </c:ext>
                </c:extLst>
              </c15:ser>
            </c15:filteredLineSeries>
            <c15:filteredLineSeries>
              <c15:ser>
                <c:idx val="3"/>
                <c:order val="3"/>
                <c:spPr>
                  <a:ln w="19050" cap="rnd" cmpd="sng" algn="ctr">
                    <a:solidFill>
                      <a:schemeClr val="accent4">
                        <a:shade val="95000"/>
                        <a:satMod val="10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chemeClr val="accent4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zh-CN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6r2="http://schemas.microsoft.com/office/drawing/2015/06/chart"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dk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项目进度甘特图!$B$5:$B$16</c15:sqref>
                        </c15:formulaRef>
                      </c:ext>
                    </c:extLst>
                    <c:strCache>
                      <c:ptCount val="12"/>
                      <c:pt idx="0">
                        <c:v>项目开启会议</c:v>
                      </c:pt>
                      <c:pt idx="1">
                        <c:v>客户需求调研</c:v>
                      </c:pt>
                      <c:pt idx="2">
                        <c:v>客户需求整理</c:v>
                      </c:pt>
                      <c:pt idx="3">
                        <c:v>项目任务分解</c:v>
                      </c:pt>
                      <c:pt idx="4">
                        <c:v>任务1</c:v>
                      </c:pt>
                      <c:pt idx="5">
                        <c:v>任务2</c:v>
                      </c:pt>
                      <c:pt idx="6">
                        <c:v>任务3</c:v>
                      </c:pt>
                      <c:pt idx="7">
                        <c:v>系统配置</c:v>
                      </c:pt>
                      <c:pt idx="8">
                        <c:v>系统调试</c:v>
                      </c:pt>
                      <c:pt idx="9">
                        <c:v>技术传输</c:v>
                      </c:pt>
                      <c:pt idx="10">
                        <c:v>客户培训</c:v>
                      </c:pt>
                      <c:pt idx="11">
                        <c:v>项目验收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项目进度甘特图!$F$5:$F$16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2</c:v>
                      </c:pt>
                      <c:pt idx="2">
                        <c:v>6</c:v>
                      </c:pt>
                      <c:pt idx="3">
                        <c:v>8</c:v>
                      </c:pt>
                      <c:pt idx="4">
                        <c:v>12</c:v>
                      </c:pt>
                      <c:pt idx="5">
                        <c:v>20</c:v>
                      </c:pt>
                      <c:pt idx="6">
                        <c:v>29</c:v>
                      </c:pt>
                      <c:pt idx="7">
                        <c:v>42</c:v>
                      </c:pt>
                      <c:pt idx="8">
                        <c:v>47</c:v>
                      </c:pt>
                      <c:pt idx="9">
                        <c:v>49</c:v>
                      </c:pt>
                      <c:pt idx="10">
                        <c:v>53</c:v>
                      </c:pt>
                      <c:pt idx="11">
                        <c:v>57</c:v>
                      </c:pt>
                    </c:numCache>
                  </c:numRef>
                </c: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4-A4AB-4578-8372-C40CA70A7D75}"/>
                  </c:ext>
                </c:extLst>
              </c15:ser>
            </c15:filteredLineSeries>
            <c15:filteredLineSeries>
              <c15:ser>
                <c:idx val="5"/>
                <c:order val="5"/>
                <c:spPr>
                  <a:ln w="19050" cap="rnd" cmpd="sng" algn="ctr">
                    <a:solidFill>
                      <a:schemeClr val="accent6">
                        <a:shade val="95000"/>
                        <a:satMod val="10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chemeClr val="accent6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zh-CN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6r2="http://schemas.microsoft.com/office/drawing/2015/06/chart"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dk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项目进度甘特图!$B$5:$B$16</c15:sqref>
                        </c15:formulaRef>
                      </c:ext>
                    </c:extLst>
                    <c:strCache>
                      <c:ptCount val="12"/>
                      <c:pt idx="0">
                        <c:v>项目开启会议</c:v>
                      </c:pt>
                      <c:pt idx="1">
                        <c:v>客户需求调研</c:v>
                      </c:pt>
                      <c:pt idx="2">
                        <c:v>客户需求整理</c:v>
                      </c:pt>
                      <c:pt idx="3">
                        <c:v>项目任务分解</c:v>
                      </c:pt>
                      <c:pt idx="4">
                        <c:v>任务1</c:v>
                      </c:pt>
                      <c:pt idx="5">
                        <c:v>任务2</c:v>
                      </c:pt>
                      <c:pt idx="6">
                        <c:v>任务3</c:v>
                      </c:pt>
                      <c:pt idx="7">
                        <c:v>系统配置</c:v>
                      </c:pt>
                      <c:pt idx="8">
                        <c:v>系统调试</c:v>
                      </c:pt>
                      <c:pt idx="9">
                        <c:v>技术传输</c:v>
                      </c:pt>
                      <c:pt idx="10">
                        <c:v>客户培训</c:v>
                      </c:pt>
                      <c:pt idx="11">
                        <c:v>项目验收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项目进度甘特图!$H$5:$H$16</c15:sqref>
                        </c15:formulaRef>
                      </c:ext>
                    </c:extLst>
                  </c:numRef>
                </c: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5-A4AB-4578-8372-C40CA70A7D75}"/>
                  </c:ext>
                </c:extLst>
              </c15:ser>
            </c15:filteredLineSeries>
          </c:ext>
        </c:extLst>
      </c:lineChart>
      <c:catAx>
        <c:axId val="1024368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印品溜溜圆" panose="02000000000000000000" pitchFamily="2" charset="-122"/>
                <a:ea typeface="印品溜溜圆" panose="02000000000000000000" pitchFamily="2" charset="-122"/>
                <a:cs typeface="+mn-cs"/>
              </a:defRPr>
            </a:pPr>
            <a:endParaRPr lang="zh-CN"/>
          </a:p>
        </c:txPr>
        <c:crossAx val="1024367520"/>
        <c:crosses val="autoZero"/>
        <c:auto val="1"/>
        <c:lblAlgn val="ctr"/>
        <c:lblOffset val="100"/>
        <c:noMultiLvlLbl val="0"/>
      </c:catAx>
      <c:valAx>
        <c:axId val="10243675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24368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113433215698443"/>
          <c:y val="0.89936507167373292"/>
          <c:w val="0.57102910024077225"/>
          <c:h val="8.37368867353119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印品溜溜圆" panose="02000000000000000000" pitchFamily="2" charset="-122"/>
              <a:ea typeface="印品溜溜圆" panose="02000000000000000000" pitchFamily="2" charset="-122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&#39033;&#30446;&#36827;&#24230;&#29976;&#29305;&#22270;!A1"/><Relationship Id="rId2" Type="http://schemas.openxmlformats.org/officeDocument/2006/relationships/image" Target="../media/image1.png"/><Relationship Id="rId1" Type="http://schemas.openxmlformats.org/officeDocument/2006/relationships/hyperlink" Target="#&#20351;&#29992;&#35828;&#26126;!A1"/><Relationship Id="rId6" Type="http://schemas.openxmlformats.org/officeDocument/2006/relationships/image" Target="../media/image3.png"/><Relationship Id="rId5" Type="http://schemas.openxmlformats.org/officeDocument/2006/relationships/hyperlink" Target="#&#39033;&#30446;&#27719;&#24635;&#20449;&#24687;!A1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&#39318;&#39029;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39318;&#39029;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&#39318;&#39029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531584</xdr:colOff>
      <xdr:row>13</xdr:row>
      <xdr:rowOff>133965</xdr:rowOff>
    </xdr:from>
    <xdr:to>
      <xdr:col>9</xdr:col>
      <xdr:colOff>376463</xdr:colOff>
      <xdr:row>20</xdr:row>
      <xdr:rowOff>98426</xdr:rowOff>
    </xdr:to>
    <xdr:grpSp>
      <xdr:nvGrpSpPr>
        <xdr:cNvPr id="8" name="组合 7">
          <a:hlinkClick xmlns:r="http://schemas.openxmlformats.org/officeDocument/2006/relationships" r:id="rId1"/>
        </xdr:cNvPr>
        <xdr:cNvGrpSpPr/>
      </xdr:nvGrpSpPr>
      <xdr:grpSpPr>
        <a:xfrm>
          <a:off x="5865584" y="2610465"/>
          <a:ext cx="1368879" cy="1297961"/>
          <a:chOff x="5865584" y="2846322"/>
          <a:chExt cx="1368879" cy="1424961"/>
        </a:xfrm>
      </xdr:grpSpPr>
      <xdr:sp macro="" textlink="">
        <xdr:nvSpPr>
          <xdr:cNvPr id="4" name="矩形 3"/>
          <xdr:cNvSpPr/>
        </xdr:nvSpPr>
        <xdr:spPr>
          <a:xfrm>
            <a:off x="5865584" y="3560537"/>
            <a:ext cx="1368879" cy="710746"/>
          </a:xfrm>
          <a:prstGeom prst="rect">
            <a:avLst/>
          </a:prstGeom>
          <a:effectLst>
            <a:glow rad="63500">
              <a:schemeClr val="accent5">
                <a:satMod val="175000"/>
                <a:alpha val="40000"/>
              </a:schemeClr>
            </a:glow>
            <a:outerShdw blurRad="40000" dist="20000" dir="5400000" rotWithShape="0">
              <a:srgbClr val="000000">
                <a:alpha val="38000"/>
              </a:srgbClr>
            </a:outerShdw>
          </a:effectLst>
          <a:scene3d>
            <a:camera prst="perspectiveRelaxedModerately"/>
            <a:lightRig rig="threePt" dir="t"/>
          </a:scene3d>
          <a:sp3d>
            <a:bevelT w="101600" prst="riblet"/>
          </a:sp3d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rtlCol="0" anchor="ctr"/>
          <a:lstStyle/>
          <a:p>
            <a:pPr marL="0" indent="0" algn="ctr"/>
            <a:r>
              <a:rPr lang="zh-CN" altLang="en-US" sz="1800" b="1">
                <a:solidFill>
                  <a:schemeClr val="bg1"/>
                </a:solidFill>
                <a:latin typeface="字魂58号-创中黑" panose="00000500000000000000" pitchFamily="2" charset="-122"/>
                <a:ea typeface="字魂58号-创中黑" panose="00000500000000000000" pitchFamily="2" charset="-122"/>
                <a:cs typeface="+mn-cs"/>
              </a:rPr>
              <a:t>使用说明</a:t>
            </a:r>
          </a:p>
        </xdr:txBody>
      </xdr:sp>
      <xdr:pic>
        <xdr:nvPicPr>
          <xdr:cNvPr id="5" name="图片 4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232070" y="2846322"/>
            <a:ext cx="489858" cy="489858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252184</xdr:colOff>
      <xdr:row>12</xdr:row>
      <xdr:rowOff>204430</xdr:rowOff>
    </xdr:from>
    <xdr:to>
      <xdr:col>6</xdr:col>
      <xdr:colOff>97063</xdr:colOff>
      <xdr:row>20</xdr:row>
      <xdr:rowOff>98426</xdr:rowOff>
    </xdr:to>
    <xdr:grpSp>
      <xdr:nvGrpSpPr>
        <xdr:cNvPr id="9" name="组合 8">
          <a:hlinkClick xmlns:r="http://schemas.openxmlformats.org/officeDocument/2006/relationships" r:id="rId3"/>
        </xdr:cNvPr>
        <xdr:cNvGrpSpPr/>
      </xdr:nvGrpSpPr>
      <xdr:grpSpPr>
        <a:xfrm>
          <a:off x="3300184" y="2480905"/>
          <a:ext cx="1368879" cy="1427521"/>
          <a:chOff x="3300184" y="2708144"/>
          <a:chExt cx="1368879" cy="1563139"/>
        </a:xfrm>
      </xdr:grpSpPr>
      <xdr:sp macro="" textlink="">
        <xdr:nvSpPr>
          <xdr:cNvPr id="3" name="矩形 2"/>
          <xdr:cNvSpPr/>
        </xdr:nvSpPr>
        <xdr:spPr>
          <a:xfrm>
            <a:off x="3300184" y="3560537"/>
            <a:ext cx="1368879" cy="710746"/>
          </a:xfrm>
          <a:prstGeom prst="rect">
            <a:avLst/>
          </a:prstGeom>
          <a:effectLst>
            <a:glow rad="63500">
              <a:schemeClr val="accent5">
                <a:satMod val="175000"/>
                <a:alpha val="40000"/>
              </a:schemeClr>
            </a:glow>
            <a:outerShdw blurRad="40000" dist="20000" dir="5400000" rotWithShape="0">
              <a:srgbClr val="000000">
                <a:alpha val="38000"/>
              </a:srgbClr>
            </a:outerShdw>
          </a:effectLst>
          <a:scene3d>
            <a:camera prst="perspectiveRelaxedModerately"/>
            <a:lightRig rig="threePt" dir="t"/>
          </a:scene3d>
          <a:sp3d>
            <a:bevelT w="101600" prst="riblet"/>
          </a:sp3d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rtlCol="0" anchor="ctr"/>
          <a:lstStyle/>
          <a:p>
            <a:pPr marL="0" indent="0" algn="ctr"/>
            <a:r>
              <a:rPr lang="zh-CN" altLang="en-US" sz="1800" b="1">
                <a:solidFill>
                  <a:schemeClr val="bg1"/>
                </a:solidFill>
                <a:latin typeface="字魂58号-创中黑" panose="00000500000000000000" pitchFamily="2" charset="-122"/>
                <a:ea typeface="字魂58号-创中黑" panose="00000500000000000000" pitchFamily="2" charset="-122"/>
                <a:cs typeface="+mn-cs"/>
              </a:rPr>
              <a:t>项目进度图</a:t>
            </a:r>
          </a:p>
        </xdr:txBody>
      </xdr:sp>
      <xdr:pic>
        <xdr:nvPicPr>
          <xdr:cNvPr id="6" name="图片 5"/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90821" y="2708144"/>
            <a:ext cx="766214" cy="766214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734785</xdr:colOff>
      <xdr:row>13</xdr:row>
      <xdr:rowOff>92823</xdr:rowOff>
    </xdr:from>
    <xdr:to>
      <xdr:col>2</xdr:col>
      <xdr:colOff>579664</xdr:colOff>
      <xdr:row>20</xdr:row>
      <xdr:rowOff>98426</xdr:rowOff>
    </xdr:to>
    <xdr:grpSp>
      <xdr:nvGrpSpPr>
        <xdr:cNvPr id="10" name="组合 9">
          <a:hlinkClick xmlns:r="http://schemas.openxmlformats.org/officeDocument/2006/relationships" r:id="rId5"/>
        </xdr:cNvPr>
        <xdr:cNvGrpSpPr/>
      </xdr:nvGrpSpPr>
      <xdr:grpSpPr>
        <a:xfrm>
          <a:off x="734785" y="2569323"/>
          <a:ext cx="1368879" cy="1339103"/>
          <a:chOff x="734785" y="2805180"/>
          <a:chExt cx="1368879" cy="1466103"/>
        </a:xfrm>
      </xdr:grpSpPr>
      <xdr:sp macro="" textlink="">
        <xdr:nvSpPr>
          <xdr:cNvPr id="2" name="矩形 1"/>
          <xdr:cNvSpPr/>
        </xdr:nvSpPr>
        <xdr:spPr>
          <a:xfrm>
            <a:off x="734785" y="3560537"/>
            <a:ext cx="1368879" cy="710746"/>
          </a:xfrm>
          <a:prstGeom prst="rect">
            <a:avLst/>
          </a:prstGeom>
          <a:effectLst>
            <a:glow rad="63500">
              <a:schemeClr val="accent5">
                <a:satMod val="175000"/>
                <a:alpha val="40000"/>
              </a:schemeClr>
            </a:glow>
            <a:outerShdw blurRad="40000" dist="20000" dir="5400000" rotWithShape="0">
              <a:srgbClr val="000000">
                <a:alpha val="38000"/>
              </a:srgbClr>
            </a:outerShdw>
          </a:effectLst>
          <a:scene3d>
            <a:camera prst="perspectiveRelaxedModerately"/>
            <a:lightRig rig="threePt" dir="t"/>
          </a:scene3d>
          <a:sp3d>
            <a:bevelT w="101600" prst="riblet"/>
          </a:sp3d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zh-CN" altLang="en-US" sz="1800" b="1">
                <a:solidFill>
                  <a:schemeClr val="bg1"/>
                </a:solidFill>
                <a:latin typeface="字魂58号-创中黑" panose="00000500000000000000" pitchFamily="2" charset="-122"/>
                <a:ea typeface="字魂58号-创中黑" panose="00000500000000000000" pitchFamily="2" charset="-122"/>
              </a:rPr>
              <a:t>项目信息表</a:t>
            </a:r>
          </a:p>
        </xdr:txBody>
      </xdr:sp>
      <xdr:pic>
        <xdr:nvPicPr>
          <xdr:cNvPr id="7" name="图片 6"/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3642" y="2805180"/>
            <a:ext cx="572143" cy="572143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217715</xdr:colOff>
      <xdr:row>1</xdr:row>
      <xdr:rowOff>224518</xdr:rowOff>
    </xdr:from>
    <xdr:to>
      <xdr:col>3</xdr:col>
      <xdr:colOff>1406939</xdr:colOff>
      <xdr:row>2</xdr:row>
      <xdr:rowOff>270082</xdr:rowOff>
    </xdr:to>
    <xdr:sp macro="" textlink="">
      <xdr:nvSpPr>
        <xdr:cNvPr id="3" name="五边形 2">
          <a:hlinkClick xmlns:r="http://schemas.openxmlformats.org/officeDocument/2006/relationships" r:id="rId1"/>
        </xdr:cNvPr>
        <xdr:cNvSpPr/>
      </xdr:nvSpPr>
      <xdr:spPr>
        <a:xfrm>
          <a:off x="4762501" y="591911"/>
          <a:ext cx="1189224" cy="412957"/>
        </a:xfrm>
        <a:prstGeom prst="homePlate">
          <a:avLst/>
        </a:prstGeom>
        <a:solidFill>
          <a:srgbClr val="FF935B"/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marL="0" indent="0" algn="ctr"/>
          <a:r>
            <a:rPr lang="zh-CN" altLang="en-US" sz="1600" b="1">
              <a:solidFill>
                <a:schemeClr val="bg1"/>
              </a:solidFill>
              <a:latin typeface="印品溜溜圆" panose="02000000000000000000" pitchFamily="2" charset="-122"/>
              <a:ea typeface="印品溜溜圆" panose="02000000000000000000" pitchFamily="2" charset="-122"/>
              <a:cs typeface="+mn-cs"/>
            </a:rPr>
            <a:t>返回首页</a:t>
          </a:r>
          <a:endParaRPr lang="en-US" altLang="zh-CN" sz="1600" b="1">
            <a:solidFill>
              <a:schemeClr val="bg1"/>
            </a:solidFill>
            <a:latin typeface="印品溜溜圆" panose="02000000000000000000" pitchFamily="2" charset="-122"/>
            <a:ea typeface="印品溜溜圆" panose="02000000000000000000" pitchFamily="2" charset="-122"/>
            <a:cs typeface="+mn-cs"/>
          </a:endParaRPr>
        </a:p>
      </xdr:txBody>
    </xdr:sp>
    <xdr:clientData/>
  </xdr:twoCellAnchor>
  <xdr:twoCellAnchor>
    <xdr:from>
      <xdr:col>0</xdr:col>
      <xdr:colOff>27213</xdr:colOff>
      <xdr:row>15</xdr:row>
      <xdr:rowOff>21234</xdr:rowOff>
    </xdr:from>
    <xdr:to>
      <xdr:col>3</xdr:col>
      <xdr:colOff>1582963</xdr:colOff>
      <xdr:row>34</xdr:row>
      <xdr:rowOff>14363</xdr:rowOff>
    </xdr:to>
    <xdr:graphicFrame macro="">
      <xdr:nvGraphicFramePr>
        <xdr:cNvPr id="4" name="图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11543</xdr:colOff>
      <xdr:row>0</xdr:row>
      <xdr:rowOff>173182</xdr:rowOff>
    </xdr:from>
    <xdr:to>
      <xdr:col>13</xdr:col>
      <xdr:colOff>155864</xdr:colOff>
      <xdr:row>0</xdr:row>
      <xdr:rowOff>635001</xdr:rowOff>
    </xdr:to>
    <xdr:sp macro="" textlink="">
      <xdr:nvSpPr>
        <xdr:cNvPr id="3" name="五边形 2">
          <a:hlinkClick xmlns:r="http://schemas.openxmlformats.org/officeDocument/2006/relationships" r:id="rId1"/>
        </xdr:cNvPr>
        <xdr:cNvSpPr/>
      </xdr:nvSpPr>
      <xdr:spPr>
        <a:xfrm>
          <a:off x="6090225" y="173182"/>
          <a:ext cx="1391230" cy="461819"/>
        </a:xfrm>
        <a:prstGeom prst="homePlate">
          <a:avLst/>
        </a:prstGeom>
        <a:solidFill>
          <a:srgbClr val="FF935B"/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marL="0" indent="0" algn="ctr"/>
          <a:r>
            <a:rPr lang="zh-CN" altLang="en-US" sz="1800" b="1">
              <a:solidFill>
                <a:schemeClr val="bg1"/>
              </a:solidFill>
              <a:latin typeface="印品溜溜圆" panose="02000000000000000000" pitchFamily="2" charset="-122"/>
              <a:ea typeface="印品溜溜圆" panose="02000000000000000000" pitchFamily="2" charset="-122"/>
              <a:cs typeface="+mn-cs"/>
            </a:rPr>
            <a:t>返回首页</a:t>
          </a:r>
          <a:endParaRPr lang="en-US" altLang="zh-CN" sz="1800" b="1">
            <a:solidFill>
              <a:schemeClr val="bg1"/>
            </a:solidFill>
            <a:latin typeface="印品溜溜圆" panose="02000000000000000000" pitchFamily="2" charset="-122"/>
            <a:ea typeface="印品溜溜圆" panose="02000000000000000000" pitchFamily="2" charset="-122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6350001</xdr:colOff>
      <xdr:row>1</xdr:row>
      <xdr:rowOff>119064</xdr:rowOff>
    </xdr:from>
    <xdr:to>
      <xdr:col>1</xdr:col>
      <xdr:colOff>7524751</xdr:colOff>
      <xdr:row>2</xdr:row>
      <xdr:rowOff>319089</xdr:rowOff>
    </xdr:to>
    <xdr:sp macro="" textlink="">
      <xdr:nvSpPr>
        <xdr:cNvPr id="3" name="五边形 2">
          <a:hlinkClick xmlns:r="http://schemas.openxmlformats.org/officeDocument/2006/relationships" r:id="rId1"/>
        </xdr:cNvPr>
        <xdr:cNvSpPr/>
      </xdr:nvSpPr>
      <xdr:spPr>
        <a:xfrm>
          <a:off x="6810376" y="325439"/>
          <a:ext cx="1174750" cy="406400"/>
        </a:xfrm>
        <a:prstGeom prst="homePlate">
          <a:avLst/>
        </a:prstGeom>
        <a:solidFill>
          <a:srgbClr val="FF935B"/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marL="0" indent="0" algn="ctr"/>
          <a:r>
            <a:rPr lang="zh-CN" altLang="en-US" sz="1600" b="1">
              <a:solidFill>
                <a:schemeClr val="bg1"/>
              </a:solidFill>
              <a:latin typeface="印品溜溜圆" panose="02000000000000000000" pitchFamily="2" charset="-122"/>
              <a:ea typeface="印品溜溜圆" panose="02000000000000000000" pitchFamily="2" charset="-122"/>
              <a:cs typeface="+mn-cs"/>
            </a:rPr>
            <a:t>返回首页</a:t>
          </a:r>
          <a:endParaRPr lang="en-US" altLang="zh-CN" sz="1600" b="1">
            <a:solidFill>
              <a:schemeClr val="bg1"/>
            </a:solidFill>
            <a:latin typeface="印品溜溜圆" panose="02000000000000000000" pitchFamily="2" charset="-122"/>
            <a:ea typeface="印品溜溜圆" panose="02000000000000000000" pitchFamily="2" charset="-122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3" tint="-9.9978637043366805E-2"/>
  </sheetPr>
  <dimension ref="A1:K28"/>
  <sheetViews>
    <sheetView showGridLines="0" tabSelected="1" zoomScale="70" zoomScaleNormal="70" workbookViewId="0">
      <selection sqref="A1:K8"/>
    </sheetView>
  </sheetViews>
  <sheetFormatPr defaultRowHeight="15"/>
  <sheetData>
    <row r="1" spans="1:11">
      <c r="A1" s="62" t="s">
        <v>53</v>
      </c>
      <c r="B1" s="62"/>
      <c r="C1" s="62"/>
      <c r="D1" s="62"/>
      <c r="E1" s="62"/>
      <c r="F1" s="62"/>
      <c r="G1" s="62"/>
      <c r="H1" s="62"/>
      <c r="I1" s="62"/>
      <c r="J1" s="62"/>
      <c r="K1" s="62"/>
    </row>
    <row r="2" spans="1:11">
      <c r="A2" s="62"/>
      <c r="B2" s="62"/>
      <c r="C2" s="62"/>
      <c r="D2" s="62"/>
      <c r="E2" s="62"/>
      <c r="F2" s="62"/>
      <c r="G2" s="62"/>
      <c r="H2" s="62"/>
      <c r="I2" s="62"/>
      <c r="J2" s="62"/>
      <c r="K2" s="62"/>
    </row>
    <row r="3" spans="1:11">
      <c r="A3" s="62"/>
      <c r="B3" s="62"/>
      <c r="C3" s="62"/>
      <c r="D3" s="62"/>
      <c r="E3" s="62"/>
      <c r="F3" s="62"/>
      <c r="G3" s="62"/>
      <c r="H3" s="62"/>
      <c r="I3" s="62"/>
      <c r="J3" s="62"/>
      <c r="K3" s="62"/>
    </row>
    <row r="4" spans="1:11">
      <c r="A4" s="62"/>
      <c r="B4" s="62"/>
      <c r="C4" s="62"/>
      <c r="D4" s="62"/>
      <c r="E4" s="62"/>
      <c r="F4" s="62"/>
      <c r="G4" s="62"/>
      <c r="H4" s="62"/>
      <c r="I4" s="62"/>
      <c r="J4" s="62"/>
      <c r="K4" s="62"/>
    </row>
    <row r="5" spans="1:11">
      <c r="A5" s="62"/>
      <c r="B5" s="62"/>
      <c r="C5" s="62"/>
      <c r="D5" s="62"/>
      <c r="E5" s="62"/>
      <c r="F5" s="62"/>
      <c r="G5" s="62"/>
      <c r="H5" s="62"/>
      <c r="I5" s="62"/>
      <c r="J5" s="62"/>
      <c r="K5" s="62"/>
    </row>
    <row r="6" spans="1:11">
      <c r="A6" s="62"/>
      <c r="B6" s="62"/>
      <c r="C6" s="62"/>
      <c r="D6" s="62"/>
      <c r="E6" s="62"/>
      <c r="F6" s="62"/>
      <c r="G6" s="62"/>
      <c r="H6" s="62"/>
      <c r="I6" s="62"/>
      <c r="J6" s="62"/>
      <c r="K6" s="62"/>
    </row>
    <row r="7" spans="1:11">
      <c r="A7" s="62"/>
      <c r="B7" s="62"/>
      <c r="C7" s="62"/>
      <c r="D7" s="62"/>
      <c r="E7" s="62"/>
      <c r="F7" s="62"/>
      <c r="G7" s="62"/>
      <c r="H7" s="62"/>
      <c r="I7" s="62"/>
      <c r="J7" s="62"/>
      <c r="K7" s="62"/>
    </row>
    <row r="8" spans="1:11">
      <c r="A8" s="62"/>
      <c r="B8" s="62"/>
      <c r="C8" s="62"/>
      <c r="D8" s="62"/>
      <c r="E8" s="62"/>
      <c r="F8" s="62"/>
      <c r="G8" s="62"/>
      <c r="H8" s="62"/>
      <c r="I8" s="62"/>
      <c r="J8" s="62"/>
      <c r="K8" s="62"/>
    </row>
    <row r="9" spans="1:11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</row>
    <row r="10" spans="1:11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</row>
    <row r="11" spans="1:11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</row>
    <row r="12" spans="1:11">
      <c r="A12" s="14"/>
      <c r="B12" s="14"/>
      <c r="C12" s="14"/>
      <c r="D12" s="14"/>
      <c r="E12" s="14"/>
      <c r="F12" s="14"/>
      <c r="G12" s="14"/>
      <c r="H12" s="14"/>
      <c r="I12" s="14"/>
      <c r="J12" s="14"/>
      <c r="K12" s="14"/>
    </row>
    <row r="13" spans="1:11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</row>
    <row r="14" spans="1:11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/>
    </row>
    <row r="15" spans="1:11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</row>
    <row r="16" spans="1:11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</row>
    <row r="17" spans="1:11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</row>
    <row r="18" spans="1:11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</row>
    <row r="19" spans="1:11">
      <c r="A19" s="14"/>
      <c r="B19" s="14"/>
      <c r="C19" s="14"/>
      <c r="D19" s="14"/>
      <c r="E19" s="14"/>
      <c r="F19" s="14"/>
      <c r="G19" s="14"/>
      <c r="H19" s="14"/>
      <c r="I19" s="14"/>
      <c r="J19" s="14"/>
      <c r="K19" s="14"/>
    </row>
    <row r="20" spans="1:11">
      <c r="A20" s="14"/>
      <c r="B20" s="14">
        <v>15</v>
      </c>
      <c r="C20" s="14"/>
      <c r="D20" s="14"/>
      <c r="E20" s="14"/>
      <c r="F20" s="14"/>
      <c r="G20" s="14"/>
      <c r="H20" s="14"/>
      <c r="I20" s="14"/>
      <c r="J20" s="14"/>
      <c r="K20" s="14"/>
    </row>
    <row r="21" spans="1:11">
      <c r="A21" s="14"/>
      <c r="B21" s="14"/>
      <c r="C21" s="14"/>
      <c r="D21" s="14"/>
      <c r="E21" s="14"/>
      <c r="F21" s="14"/>
      <c r="G21" s="14"/>
      <c r="H21" s="14"/>
      <c r="I21" s="14"/>
      <c r="J21" s="14"/>
      <c r="K21" s="14"/>
    </row>
    <row r="22" spans="1:11">
      <c r="A22" s="14"/>
      <c r="B22" s="14"/>
      <c r="C22" s="14"/>
      <c r="D22" s="14"/>
      <c r="E22" s="14"/>
      <c r="F22" s="14"/>
      <c r="G22" s="14"/>
      <c r="H22" s="14"/>
      <c r="I22" s="14"/>
      <c r="J22" s="14"/>
      <c r="K22" s="14"/>
    </row>
    <row r="23" spans="1:11">
      <c r="A23" s="14"/>
      <c r="B23" s="14"/>
      <c r="C23" s="14"/>
      <c r="D23" s="14"/>
      <c r="E23" s="14"/>
      <c r="F23" s="14"/>
      <c r="G23" s="14"/>
      <c r="H23" s="14"/>
      <c r="I23" s="14"/>
      <c r="J23" s="14"/>
      <c r="K23" s="14"/>
    </row>
    <row r="24" spans="1:11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</row>
    <row r="25" spans="1:11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</row>
    <row r="26" spans="1:11">
      <c r="A26" s="14"/>
      <c r="B26" s="14"/>
      <c r="C26" s="14"/>
      <c r="D26" s="14"/>
      <c r="E26" s="14"/>
      <c r="F26" s="14"/>
      <c r="G26" s="14"/>
      <c r="H26" s="14"/>
      <c r="I26" s="14"/>
      <c r="J26" s="14"/>
      <c r="K26" s="14"/>
    </row>
    <row r="28" spans="1:11">
      <c r="D28" s="22"/>
    </row>
  </sheetData>
  <mergeCells count="1">
    <mergeCell ref="A1:K8"/>
  </mergeCells>
  <phoneticPr fontId="38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E19"/>
  <sheetViews>
    <sheetView showGridLines="0" zoomScale="70" zoomScaleNormal="70" workbookViewId="0">
      <selection sqref="A1:D3"/>
    </sheetView>
  </sheetViews>
  <sheetFormatPr defaultRowHeight="18.75"/>
  <cols>
    <col min="1" max="1" width="18.21875" style="23" customWidth="1"/>
    <col min="2" max="2" width="16.44140625" style="23" customWidth="1"/>
    <col min="3" max="3" width="18.21875" style="23" customWidth="1"/>
    <col min="4" max="4" width="16.44140625" style="23" customWidth="1"/>
  </cols>
  <sheetData>
    <row r="1" spans="1:5" ht="28.5" customHeight="1">
      <c r="A1" s="63" t="s">
        <v>39</v>
      </c>
      <c r="B1" s="63"/>
      <c r="C1" s="63"/>
      <c r="D1" s="63"/>
    </row>
    <row r="2" spans="1:5" ht="28.5" customHeight="1">
      <c r="A2" s="64"/>
      <c r="B2" s="64"/>
      <c r="C2" s="64"/>
      <c r="D2" s="64"/>
    </row>
    <row r="3" spans="1:5" ht="28.5" customHeight="1">
      <c r="A3" s="65"/>
      <c r="B3" s="65"/>
      <c r="C3" s="65"/>
      <c r="D3" s="65"/>
      <c r="E3" s="21"/>
    </row>
    <row r="4" spans="1:5" ht="28.5" customHeight="1">
      <c r="A4" s="56" t="s">
        <v>26</v>
      </c>
      <c r="B4" s="57">
        <f>项目进度甘特图!$J$2</f>
        <v>14</v>
      </c>
      <c r="C4" s="56" t="s">
        <v>31</v>
      </c>
      <c r="D4" s="57">
        <f>项目进度甘特图!$Q$2</f>
        <v>8</v>
      </c>
      <c r="E4" s="21"/>
    </row>
    <row r="5" spans="1:5" ht="28.5" customHeight="1">
      <c r="A5" s="58" t="s">
        <v>29</v>
      </c>
      <c r="B5" s="59">
        <f>SUM(项目进度甘特图!D5:D16)</f>
        <v>66</v>
      </c>
      <c r="C5" s="58" t="s">
        <v>30</v>
      </c>
      <c r="D5" s="59">
        <f>SUM(项目进度甘特图!G5:G16)</f>
        <v>65</v>
      </c>
      <c r="E5" s="21"/>
    </row>
    <row r="6" spans="1:5" ht="28.5" customHeight="1">
      <c r="A6" s="58" t="s">
        <v>28</v>
      </c>
      <c r="B6" s="59">
        <f>项目汇总信息!B5*项目汇总信息!D4</f>
        <v>528</v>
      </c>
      <c r="C6" s="58" t="s">
        <v>27</v>
      </c>
      <c r="D6" s="59">
        <f>项目汇总信息!D4*项目汇总信息!D5</f>
        <v>520</v>
      </c>
      <c r="E6" s="21"/>
    </row>
    <row r="7" spans="1:5" ht="28.5" customHeight="1">
      <c r="A7" s="58" t="s">
        <v>43</v>
      </c>
      <c r="B7" s="59">
        <f>DJ(shuri)</f>
        <v>120</v>
      </c>
      <c r="C7" s="58" t="s">
        <v>44</v>
      </c>
      <c r="D7" s="59">
        <f>PK(smura)</f>
        <v>136</v>
      </c>
      <c r="E7" s="21"/>
    </row>
    <row r="8" spans="1:5" ht="28.5" customHeight="1">
      <c r="A8" s="66" t="s">
        <v>45</v>
      </c>
      <c r="B8" s="66"/>
      <c r="C8" s="66"/>
      <c r="D8" s="66"/>
      <c r="E8" s="21"/>
    </row>
    <row r="9" spans="1:5" ht="28.5" customHeight="1">
      <c r="A9" s="58" t="s">
        <v>23</v>
      </c>
      <c r="B9" s="59">
        <f>DJ(shuri)</f>
        <v>120</v>
      </c>
      <c r="C9" s="58" t="s">
        <v>34</v>
      </c>
      <c r="D9" s="59">
        <f>PK(smura)</f>
        <v>136</v>
      </c>
      <c r="E9" s="21"/>
    </row>
    <row r="10" spans="1:5" ht="28.5" customHeight="1">
      <c r="A10" s="58" t="s">
        <v>32</v>
      </c>
      <c r="B10" s="59">
        <v>200000</v>
      </c>
      <c r="C10" s="58" t="s">
        <v>46</v>
      </c>
      <c r="D10" s="59">
        <v>54000</v>
      </c>
      <c r="E10" s="21"/>
    </row>
    <row r="11" spans="1:5" ht="28.5" customHeight="1">
      <c r="A11" s="58" t="s">
        <v>33</v>
      </c>
      <c r="B11" s="59">
        <f>项目汇总信息!B10*项目汇总信息!B9</f>
        <v>24000000</v>
      </c>
      <c r="C11" s="58" t="s">
        <v>35</v>
      </c>
      <c r="D11" s="59">
        <f>项目汇总信息!B10*项目汇总信息!D9</f>
        <v>27200000</v>
      </c>
      <c r="E11" s="21"/>
    </row>
    <row r="12" spans="1:5" ht="28.5" customHeight="1">
      <c r="A12" s="66" t="s">
        <v>39</v>
      </c>
      <c r="B12" s="66"/>
      <c r="C12" s="66"/>
      <c r="D12" s="66"/>
      <c r="E12" s="21"/>
    </row>
    <row r="13" spans="1:5" ht="28.5" customHeight="1">
      <c r="A13" s="58" t="s">
        <v>36</v>
      </c>
      <c r="B13" s="59">
        <f>项目汇总信息!D11/项目汇总信息!B11</f>
        <v>1.1333333333333333</v>
      </c>
      <c r="C13" s="58" t="s">
        <v>37</v>
      </c>
      <c r="D13" s="59">
        <f>项目汇总信息!D11-项目汇总信息!B11</f>
        <v>3200000</v>
      </c>
      <c r="E13" s="21"/>
    </row>
    <row r="14" spans="1:5" ht="28.5" customHeight="1">
      <c r="A14" s="60" t="s">
        <v>38</v>
      </c>
      <c r="B14" s="61">
        <f>D11/D10</f>
        <v>503.7037037037037</v>
      </c>
      <c r="C14" s="60" t="s">
        <v>47</v>
      </c>
      <c r="D14" s="61">
        <f>D11-D10</f>
        <v>27146000</v>
      </c>
      <c r="E14" s="21"/>
    </row>
    <row r="15" spans="1:5" ht="28.5" customHeight="1">
      <c r="A15" s="66" t="s">
        <v>48</v>
      </c>
      <c r="B15" s="66"/>
      <c r="C15" s="67">
        <f>(B10-D11)/(B10-D10)</f>
        <v>-184.93150684931507</v>
      </c>
      <c r="D15" s="67"/>
      <c r="E15" s="21"/>
    </row>
    <row r="16" spans="1:5" ht="28.5" customHeight="1">
      <c r="E16" s="21"/>
    </row>
    <row r="17" ht="28.5" customHeight="1"/>
    <row r="18" ht="28.5" customHeight="1"/>
    <row r="19" ht="28.5" customHeight="1"/>
  </sheetData>
  <mergeCells count="5">
    <mergeCell ref="A1:D3"/>
    <mergeCell ref="A8:D8"/>
    <mergeCell ref="A12:D12"/>
    <mergeCell ref="A15:B15"/>
    <mergeCell ref="C15:D15"/>
  </mergeCells>
  <phoneticPr fontId="38" type="noConversion"/>
  <dataValidations count="3">
    <dataValidation allowBlank="1" showInputMessage="1" showErrorMessage="1" prompt="请输入本项目的预算金额" sqref="B10"/>
    <dataValidation allowBlank="1" showInputMessage="1" showErrorMessage="1" prompt="到目前为止实际已经花了多少钱，请在此处输入花费的钱数" sqref="D10"/>
    <dataValidation allowBlank="1" showInputMessage="1" showErrorMessage="1" prompt="此结果说明了此项目需要有怎样的绩效才能保证不超出预算_x000a_" sqref="C15:D15"/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0.79998168889431442"/>
  </sheetPr>
  <dimension ref="B1:BQ21"/>
  <sheetViews>
    <sheetView showGridLines="0" zoomScale="63" zoomScaleNormal="63" zoomScaleSheetLayoutView="80" workbookViewId="0">
      <selection activeCell="B1" sqref="B1:AI16"/>
    </sheetView>
  </sheetViews>
  <sheetFormatPr defaultColWidth="2.88671875" defaultRowHeight="30" customHeight="1"/>
  <cols>
    <col min="1" max="1" width="2.33203125" customWidth="1"/>
    <col min="2" max="2" width="25.88671875" style="2" customWidth="1"/>
    <col min="3" max="3" width="11.109375" style="1" bestFit="1" customWidth="1"/>
    <col min="4" max="4" width="7.88671875" style="1" bestFit="1" customWidth="1"/>
    <col min="5" max="5" width="11.109375" style="1" hidden="1" customWidth="1"/>
    <col min="6" max="6" width="11.109375" style="1" bestFit="1" customWidth="1"/>
    <col min="7" max="7" width="7.88671875" style="1" bestFit="1" customWidth="1"/>
    <col min="8" max="8" width="11.77734375" style="1" hidden="1" customWidth="1"/>
    <col min="9" max="9" width="17" style="3" customWidth="1"/>
    <col min="10" max="29" width="4.33203125" style="1" customWidth="1"/>
    <col min="30" max="69" width="4.33203125" customWidth="1"/>
  </cols>
  <sheetData>
    <row r="1" spans="2:69" ht="60" customHeight="1" thickBot="1">
      <c r="B1" s="24" t="s">
        <v>49</v>
      </c>
      <c r="C1" s="13"/>
      <c r="D1" s="5"/>
      <c r="E1" s="5"/>
      <c r="F1" s="5"/>
      <c r="G1" s="5"/>
      <c r="H1" s="5"/>
      <c r="I1" s="5"/>
      <c r="J1" s="6"/>
      <c r="K1" s="6"/>
      <c r="L1" s="6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</row>
    <row r="2" spans="2:69" s="12" customFormat="1" ht="23.25" customHeight="1" thickTop="1" thickBot="1">
      <c r="B2" s="76"/>
      <c r="C2" s="76"/>
      <c r="D2" s="76"/>
      <c r="E2" s="76"/>
      <c r="F2" s="76"/>
      <c r="G2" s="15"/>
      <c r="H2" s="15"/>
      <c r="I2" s="25" t="s">
        <v>5</v>
      </c>
      <c r="J2" s="34">
        <v>14</v>
      </c>
      <c r="K2" s="26"/>
      <c r="L2" s="77" t="s">
        <v>22</v>
      </c>
      <c r="M2" s="77"/>
      <c r="N2" s="77"/>
      <c r="O2" s="77"/>
      <c r="P2" s="77"/>
      <c r="Q2" s="35">
        <v>8</v>
      </c>
      <c r="R2" s="27"/>
      <c r="S2" s="28"/>
      <c r="T2" s="68" t="s">
        <v>1</v>
      </c>
      <c r="U2" s="69"/>
      <c r="V2" s="69"/>
      <c r="W2" s="69"/>
      <c r="X2" s="29"/>
      <c r="Y2" s="30"/>
      <c r="Z2" s="68" t="s">
        <v>3</v>
      </c>
      <c r="AA2" s="69"/>
      <c r="AB2" s="69"/>
      <c r="AC2" s="78"/>
      <c r="AD2" s="29"/>
      <c r="AE2" s="31"/>
      <c r="AF2" s="68" t="s">
        <v>50</v>
      </c>
      <c r="AG2" s="69"/>
      <c r="AH2" s="69"/>
      <c r="AI2" s="69"/>
      <c r="AJ2" s="29"/>
      <c r="AK2" s="32"/>
      <c r="AL2" s="68" t="s">
        <v>20</v>
      </c>
      <c r="AM2" s="69"/>
      <c r="AN2" s="69"/>
      <c r="AO2" s="69"/>
      <c r="AP2" s="29"/>
      <c r="AQ2" s="33"/>
      <c r="AR2" s="68" t="s">
        <v>19</v>
      </c>
      <c r="AS2" s="69"/>
      <c r="AT2" s="69"/>
      <c r="AU2" s="69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</row>
    <row r="3" spans="2:69" s="4" customFormat="1" ht="39.950000000000003" customHeight="1" thickTop="1">
      <c r="B3" s="72" t="s">
        <v>51</v>
      </c>
      <c r="C3" s="74" t="s">
        <v>0</v>
      </c>
      <c r="D3" s="74" t="s">
        <v>1</v>
      </c>
      <c r="E3" s="74" t="s">
        <v>24</v>
      </c>
      <c r="F3" s="74" t="s">
        <v>2</v>
      </c>
      <c r="G3" s="74" t="s">
        <v>3</v>
      </c>
      <c r="H3" s="74" t="s">
        <v>25</v>
      </c>
      <c r="I3" s="70" t="s">
        <v>4</v>
      </c>
      <c r="J3" s="49" t="s">
        <v>6</v>
      </c>
      <c r="K3" s="8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</row>
    <row r="4" spans="2:69" s="51" customFormat="1" ht="22.5" customHeight="1">
      <c r="B4" s="73"/>
      <c r="C4" s="75"/>
      <c r="D4" s="75"/>
      <c r="E4" s="75"/>
      <c r="F4" s="75"/>
      <c r="G4" s="75"/>
      <c r="H4" s="75"/>
      <c r="I4" s="71"/>
      <c r="J4" s="50">
        <v>1</v>
      </c>
      <c r="K4" s="50">
        <v>2</v>
      </c>
      <c r="L4" s="50">
        <v>3</v>
      </c>
      <c r="M4" s="50">
        <v>4</v>
      </c>
      <c r="N4" s="50">
        <v>5</v>
      </c>
      <c r="O4" s="50">
        <v>6</v>
      </c>
      <c r="P4" s="50">
        <v>7</v>
      </c>
      <c r="Q4" s="50">
        <v>8</v>
      </c>
      <c r="R4" s="50">
        <v>9</v>
      </c>
      <c r="S4" s="50">
        <v>10</v>
      </c>
      <c r="T4" s="50">
        <v>11</v>
      </c>
      <c r="U4" s="50">
        <v>12</v>
      </c>
      <c r="V4" s="50">
        <v>13</v>
      </c>
      <c r="W4" s="50">
        <v>14</v>
      </c>
      <c r="X4" s="50">
        <v>15</v>
      </c>
      <c r="Y4" s="50">
        <v>16</v>
      </c>
      <c r="Z4" s="50">
        <v>17</v>
      </c>
      <c r="AA4" s="50">
        <v>18</v>
      </c>
      <c r="AB4" s="50">
        <v>19</v>
      </c>
      <c r="AC4" s="50">
        <v>20</v>
      </c>
      <c r="AD4" s="50">
        <v>21</v>
      </c>
      <c r="AE4" s="50">
        <v>22</v>
      </c>
      <c r="AF4" s="50">
        <v>23</v>
      </c>
      <c r="AG4" s="50">
        <v>24</v>
      </c>
      <c r="AH4" s="50">
        <v>25</v>
      </c>
      <c r="AI4" s="50">
        <v>26</v>
      </c>
      <c r="AJ4" s="50">
        <v>27</v>
      </c>
      <c r="AK4" s="50">
        <v>28</v>
      </c>
      <c r="AL4" s="50">
        <v>29</v>
      </c>
      <c r="AM4" s="50">
        <v>30</v>
      </c>
      <c r="AN4" s="50">
        <v>31</v>
      </c>
      <c r="AO4" s="50">
        <v>32</v>
      </c>
      <c r="AP4" s="50">
        <v>33</v>
      </c>
      <c r="AQ4" s="50">
        <v>34</v>
      </c>
      <c r="AR4" s="50">
        <v>35</v>
      </c>
      <c r="AS4" s="50">
        <v>36</v>
      </c>
      <c r="AT4" s="50">
        <v>37</v>
      </c>
      <c r="AU4" s="50">
        <v>38</v>
      </c>
      <c r="AV4" s="50">
        <v>39</v>
      </c>
      <c r="AW4" s="50">
        <v>40</v>
      </c>
      <c r="AX4" s="50">
        <v>41</v>
      </c>
      <c r="AY4" s="50">
        <v>42</v>
      </c>
      <c r="AZ4" s="50">
        <v>43</v>
      </c>
      <c r="BA4" s="50">
        <v>44</v>
      </c>
      <c r="BB4" s="50">
        <v>45</v>
      </c>
      <c r="BC4" s="50">
        <v>46</v>
      </c>
      <c r="BD4" s="50">
        <v>47</v>
      </c>
      <c r="BE4" s="50">
        <v>48</v>
      </c>
      <c r="BF4" s="50">
        <v>49</v>
      </c>
      <c r="BG4" s="50">
        <v>50</v>
      </c>
      <c r="BH4" s="50">
        <v>51</v>
      </c>
      <c r="BI4" s="50">
        <v>52</v>
      </c>
      <c r="BJ4" s="50">
        <v>53</v>
      </c>
      <c r="BK4" s="50">
        <v>54</v>
      </c>
      <c r="BL4" s="50">
        <v>55</v>
      </c>
      <c r="BM4" s="50">
        <v>56</v>
      </c>
      <c r="BN4" s="50">
        <v>57</v>
      </c>
      <c r="BO4" s="50">
        <v>58</v>
      </c>
      <c r="BP4" s="50">
        <v>59</v>
      </c>
      <c r="BQ4" s="50">
        <v>60</v>
      </c>
    </row>
    <row r="5" spans="2:69" s="36" customFormat="1" ht="35.25" customHeight="1">
      <c r="B5" s="42" t="s">
        <v>7</v>
      </c>
      <c r="C5" s="44">
        <v>1</v>
      </c>
      <c r="D5" s="44">
        <v>2</v>
      </c>
      <c r="E5" s="44">
        <f t="shared" ref="E5:E16" si="0">计划累计工时</f>
        <v>16</v>
      </c>
      <c r="F5" s="44">
        <v>1</v>
      </c>
      <c r="G5" s="44">
        <v>2</v>
      </c>
      <c r="H5" s="45">
        <f t="shared" ref="H5:H16" si="1">实际累计工时</f>
        <v>16</v>
      </c>
      <c r="I5" s="37">
        <v>1</v>
      </c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</row>
    <row r="6" spans="2:69" s="36" customFormat="1" ht="35.25" customHeight="1">
      <c r="B6" s="42" t="s">
        <v>8</v>
      </c>
      <c r="C6" s="44">
        <v>3</v>
      </c>
      <c r="D6" s="44">
        <v>4</v>
      </c>
      <c r="E6" s="44">
        <f t="shared" si="0"/>
        <v>32</v>
      </c>
      <c r="F6" s="44">
        <v>2</v>
      </c>
      <c r="G6" s="44">
        <v>4</v>
      </c>
      <c r="H6" s="45">
        <f t="shared" si="1"/>
        <v>32</v>
      </c>
      <c r="I6" s="37">
        <v>1</v>
      </c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</row>
    <row r="7" spans="2:69" s="36" customFormat="1" ht="35.25" customHeight="1">
      <c r="B7" s="42" t="s">
        <v>9</v>
      </c>
      <c r="C7" s="44">
        <v>7</v>
      </c>
      <c r="D7" s="44">
        <v>2</v>
      </c>
      <c r="E7" s="44">
        <f t="shared" si="0"/>
        <v>16</v>
      </c>
      <c r="F7" s="44">
        <v>6</v>
      </c>
      <c r="G7" s="44">
        <v>4</v>
      </c>
      <c r="H7" s="45">
        <f t="shared" si="1"/>
        <v>32</v>
      </c>
      <c r="I7" s="37">
        <v>1</v>
      </c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</row>
    <row r="8" spans="2:69" s="36" customFormat="1" ht="35.25" customHeight="1">
      <c r="B8" s="42" t="s">
        <v>10</v>
      </c>
      <c r="C8" s="44">
        <v>9</v>
      </c>
      <c r="D8" s="44">
        <v>7</v>
      </c>
      <c r="E8" s="44">
        <f t="shared" si="0"/>
        <v>48</v>
      </c>
      <c r="F8" s="44">
        <v>8</v>
      </c>
      <c r="G8" s="44">
        <v>4</v>
      </c>
      <c r="H8" s="45">
        <f>实际累计工时</f>
        <v>32</v>
      </c>
      <c r="I8" s="37">
        <v>1</v>
      </c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</row>
    <row r="9" spans="2:69" s="36" customFormat="1" ht="35.25" customHeight="1">
      <c r="B9" s="42" t="s">
        <v>11</v>
      </c>
      <c r="C9" s="44">
        <v>14</v>
      </c>
      <c r="D9" s="44">
        <v>10</v>
      </c>
      <c r="E9" s="44">
        <f t="shared" si="0"/>
        <v>8</v>
      </c>
      <c r="F9" s="44">
        <v>12</v>
      </c>
      <c r="G9" s="44">
        <v>8</v>
      </c>
      <c r="H9" s="45">
        <f t="shared" si="1"/>
        <v>24</v>
      </c>
      <c r="I9" s="37">
        <v>1</v>
      </c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</row>
    <row r="10" spans="2:69" s="36" customFormat="1" ht="35.25" customHeight="1">
      <c r="B10" s="42" t="s">
        <v>12</v>
      </c>
      <c r="C10" s="44">
        <v>22</v>
      </c>
      <c r="D10" s="44">
        <v>10</v>
      </c>
      <c r="E10" s="44">
        <f t="shared" si="0"/>
        <v>0</v>
      </c>
      <c r="F10" s="44">
        <v>20</v>
      </c>
      <c r="G10" s="44">
        <v>11</v>
      </c>
      <c r="H10" s="45">
        <f t="shared" si="1"/>
        <v>0</v>
      </c>
      <c r="I10" s="37">
        <v>0.8</v>
      </c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</row>
    <row r="11" spans="2:69" s="36" customFormat="1" ht="35.25" customHeight="1">
      <c r="B11" s="42" t="s">
        <v>13</v>
      </c>
      <c r="C11" s="44">
        <v>32</v>
      </c>
      <c r="D11" s="44">
        <v>10</v>
      </c>
      <c r="E11" s="44">
        <f t="shared" si="0"/>
        <v>0</v>
      </c>
      <c r="F11" s="44">
        <v>29</v>
      </c>
      <c r="G11" s="44">
        <v>10</v>
      </c>
      <c r="H11" s="45">
        <f t="shared" si="1"/>
        <v>0</v>
      </c>
      <c r="I11" s="37">
        <v>0.8</v>
      </c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</row>
    <row r="12" spans="2:69" s="36" customFormat="1" ht="35.25" customHeight="1">
      <c r="B12" s="42" t="s">
        <v>15</v>
      </c>
      <c r="C12" s="44">
        <v>42</v>
      </c>
      <c r="D12" s="44">
        <v>5</v>
      </c>
      <c r="E12" s="44">
        <f t="shared" si="0"/>
        <v>0</v>
      </c>
      <c r="F12" s="44">
        <v>42</v>
      </c>
      <c r="G12" s="44">
        <v>6</v>
      </c>
      <c r="H12" s="45">
        <f t="shared" si="1"/>
        <v>0</v>
      </c>
      <c r="I12" s="37">
        <v>1</v>
      </c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</row>
    <row r="13" spans="2:69" s="36" customFormat="1" ht="35.25" customHeight="1">
      <c r="B13" s="42" t="s">
        <v>16</v>
      </c>
      <c r="C13" s="44">
        <v>45</v>
      </c>
      <c r="D13" s="44">
        <v>2</v>
      </c>
      <c r="E13" s="44">
        <f t="shared" si="0"/>
        <v>0</v>
      </c>
      <c r="F13" s="44">
        <v>47</v>
      </c>
      <c r="G13" s="44">
        <v>2</v>
      </c>
      <c r="H13" s="45">
        <f t="shared" si="1"/>
        <v>0</v>
      </c>
      <c r="I13" s="37">
        <v>0.9</v>
      </c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</row>
    <row r="14" spans="2:69" s="36" customFormat="1" ht="35.25" customHeight="1">
      <c r="B14" s="42" t="s">
        <v>14</v>
      </c>
      <c r="C14" s="44">
        <v>47</v>
      </c>
      <c r="D14" s="44">
        <v>5</v>
      </c>
      <c r="E14" s="44">
        <f t="shared" si="0"/>
        <v>0</v>
      </c>
      <c r="F14" s="44">
        <v>49</v>
      </c>
      <c r="G14" s="44">
        <v>5</v>
      </c>
      <c r="H14" s="45">
        <f t="shared" si="1"/>
        <v>0</v>
      </c>
      <c r="I14" s="37">
        <v>0.9</v>
      </c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</row>
    <row r="15" spans="2:69" s="36" customFormat="1" ht="35.25" customHeight="1">
      <c r="B15" s="42" t="s">
        <v>17</v>
      </c>
      <c r="C15" s="46">
        <v>52</v>
      </c>
      <c r="D15" s="44">
        <v>5</v>
      </c>
      <c r="E15" s="44">
        <f t="shared" si="0"/>
        <v>0</v>
      </c>
      <c r="F15" s="44">
        <v>53</v>
      </c>
      <c r="G15" s="44">
        <v>5</v>
      </c>
      <c r="H15" s="45">
        <f t="shared" si="1"/>
        <v>0</v>
      </c>
      <c r="I15" s="37">
        <v>0.4</v>
      </c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</row>
    <row r="16" spans="2:69" s="41" customFormat="1" ht="35.25" customHeight="1">
      <c r="B16" s="43" t="s">
        <v>18</v>
      </c>
      <c r="C16" s="47">
        <v>57</v>
      </c>
      <c r="D16" s="47">
        <v>4</v>
      </c>
      <c r="E16" s="47">
        <f t="shared" si="0"/>
        <v>0</v>
      </c>
      <c r="F16" s="47">
        <v>57</v>
      </c>
      <c r="G16" s="47">
        <v>4</v>
      </c>
      <c r="H16" s="48">
        <f t="shared" si="1"/>
        <v>0</v>
      </c>
      <c r="I16" s="39">
        <v>0.9</v>
      </c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</row>
    <row r="17" spans="2:28" ht="30" customHeight="1">
      <c r="D17" s="16"/>
      <c r="E17" s="16"/>
      <c r="F17" s="18"/>
    </row>
    <row r="18" spans="2:28" s="1" customFormat="1" ht="30" customHeight="1">
      <c r="B18" s="17"/>
      <c r="F18" s="18"/>
      <c r="I18" s="19"/>
      <c r="P18" s="20"/>
      <c r="S18" s="20"/>
      <c r="U18" s="20"/>
      <c r="AB18" s="20"/>
    </row>
    <row r="19" spans="2:28" ht="30" customHeight="1">
      <c r="F19" s="18"/>
      <c r="I19" s="19"/>
      <c r="P19" s="20"/>
    </row>
    <row r="20" spans="2:28" ht="30" customHeight="1">
      <c r="F20" s="18"/>
    </row>
    <row r="21" spans="2:28" ht="30" customHeight="1">
      <c r="F21" s="18"/>
    </row>
  </sheetData>
  <dataConsolidate/>
  <mergeCells count="15">
    <mergeCell ref="AL2:AO2"/>
    <mergeCell ref="AR2:AU2"/>
    <mergeCell ref="I3:I4"/>
    <mergeCell ref="B3:B4"/>
    <mergeCell ref="C3:C4"/>
    <mergeCell ref="D3:D4"/>
    <mergeCell ref="F3:F4"/>
    <mergeCell ref="G3:G4"/>
    <mergeCell ref="B2:F2"/>
    <mergeCell ref="L2:P2"/>
    <mergeCell ref="T2:W2"/>
    <mergeCell ref="Z2:AC2"/>
    <mergeCell ref="AF2:AI2"/>
    <mergeCell ref="E3:E4"/>
    <mergeCell ref="H3:H4"/>
  </mergeCells>
  <phoneticPr fontId="1" type="noConversion"/>
  <conditionalFormatting sqref="J5:BQ16">
    <cfRule type="expression" dxfId="13" priority="6">
      <formula>完成百分比</formula>
    </cfRule>
    <cfRule type="expression" dxfId="12" priority="8">
      <formula>超出完成百分比</formula>
    </cfRule>
    <cfRule type="expression" dxfId="11" priority="9">
      <formula>实际工期</formula>
    </cfRule>
    <cfRule type="expression" dxfId="10" priority="10">
      <formula>实际超出</formula>
    </cfRule>
    <cfRule type="expression" dxfId="9" priority="11">
      <formula>计划工期</formula>
    </cfRule>
    <cfRule type="expression" dxfId="8" priority="12">
      <formula>J$4=周期_已选择</formula>
    </cfRule>
    <cfRule type="expression" dxfId="7" priority="16">
      <formula>MOD(COLUMN(),2)</formula>
    </cfRule>
    <cfRule type="expression" dxfId="6" priority="17">
      <formula>MOD(COLUMN(),2)=0</formula>
    </cfRule>
  </conditionalFormatting>
  <conditionalFormatting sqref="B17 Q17:T17 V17:BQ17 I17:M17">
    <cfRule type="expression" dxfId="5" priority="7">
      <formula>TRUE</formula>
    </cfRule>
  </conditionalFormatting>
  <conditionalFormatting sqref="J4:BQ4">
    <cfRule type="expression" dxfId="4" priority="13">
      <formula>J$4=周期_已选择</formula>
    </cfRule>
  </conditionalFormatting>
  <conditionalFormatting sqref="N17">
    <cfRule type="expression" dxfId="3" priority="4">
      <formula>TRUE</formula>
    </cfRule>
  </conditionalFormatting>
  <conditionalFormatting sqref="P17">
    <cfRule type="expression" dxfId="2" priority="3">
      <formula>TRUE</formula>
    </cfRule>
  </conditionalFormatting>
  <conditionalFormatting sqref="U17">
    <cfRule type="expression" dxfId="1" priority="2">
      <formula>TRUE</formula>
    </cfRule>
  </conditionalFormatting>
  <conditionalFormatting sqref="O17">
    <cfRule type="expression" dxfId="0" priority="1">
      <formula>TRUE</formula>
    </cfRule>
  </conditionalFormatting>
  <dataValidations count="20">
    <dataValidation type="list" errorStyle="warning" allowBlank="1" showInputMessage="1" showErrorMessage="1" error="键入 1 到 60 之间的值，或从列表中选择一个周期 - 按“取消”、Alt+向下键，然后按 Enter 选择一个值" prompt="此处数字代表当前所在工作日。请在此处输入 1 到 60之间的一个数字，该数字所对应的日期列将会被高亮显示。" sqref="J2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此图例单元格表示计划工期" sqref="S2"/>
    <dataValidation allowBlank="1" showInputMessage="1" showErrorMessage="1" prompt="此图例单元格表示项目完成的百分比" sqref="AE2"/>
    <dataValidation allowBlank="1" showInputMessage="1" showErrorMessage="1" prompt="此图例单元格表示超出计划的实际工期" sqref="AK2"/>
    <dataValidation allowBlank="1" showInputMessage="1" showErrorMessage="1" prompt="在单元格 H4 到单元格 BO4 之间绘制周期数（1 至 60） " sqref="J3"/>
    <dataValidation allowBlank="1" showInputMessage="1" showErrorMessage="1" prompt="从单元格 B5 开始在列 B 中输入活动_x000a_" sqref="B3:B4"/>
    <dataValidation allowBlank="1" showInputMessage="1" showErrorMessage="1" prompt="此任务的计划开始时间（输入从1-60中选择）" sqref="C3:C4"/>
    <dataValidation allowBlank="1" showInputMessage="1" showErrorMessage="1" prompt="计划中完成此任务需要的时间" sqref="D3:D4"/>
    <dataValidation allowBlank="1" showInputMessage="1" showErrorMessage="1" prompt="此任务的实际开始的时间（输入从1-60中选择）" sqref="F3:F4"/>
    <dataValidation allowBlank="1" showInputMessage="1" showErrorMessage="1" prompt="实际完成此任务所花费的时间" sqref="G3:G4"/>
    <dataValidation allowBlank="1" showInputMessage="1" showErrorMessage="1" prompt="直接输入数据，不用输入百分号（%）" sqref="I3:I4"/>
    <dataValidation allowBlank="1" showErrorMessage="1" sqref="A1:A1048576 G2:H2 B1:B2"/>
    <dataValidation allowBlank="1" showInputMessage="1" showErrorMessage="1" prompt="此图例单元格表示实际工期" sqref="Y2"/>
    <dataValidation allowBlank="1" showInputMessage="1" showErrorMessage="1" prompt="此图例单元格表示项目完成的百分比（超出计划）" sqref="AQ2"/>
    <dataValidation allowBlank="1" showInputMessage="1" showErrorMessage="1" prompt="实际执行中工期中，属于计划工期的部分" sqref="Z2:AC2"/>
    <dataValidation allowBlank="1" showInputMessage="1" showErrorMessage="1" prompt="实际工期中不符合计划的部分" sqref="AL2:AO2"/>
    <dataValidation allowBlank="1" showInputMessage="1" showErrorMessage="1" prompt="超出计划的工期的完成百分比 " sqref="AR2:AU2"/>
    <dataValidation allowBlank="1" showInputMessage="1" showErrorMessage="1" prompt="请输入1-24之间的数字，代表每个工作日所投入的工时，用于项目信息统计计算" sqref="L2:P2"/>
    <dataValidation allowBlank="1" showInputMessage="1" showErrorMessage="1" prompt="到选定日期（J2）当日结束为止，该任务计划已经完成的工作小时数量" sqref="E3:E4"/>
    <dataValidation allowBlank="1" showInputMessage="1" showErrorMessage="1" prompt="到选定日期（J2）当日结束为止，该任务实际已经完成的工作小时数量" sqref="H3:H4"/>
  </dataValidations>
  <printOptions horizontalCentered="1"/>
  <pageMargins left="0.25" right="0.25" top="0.75" bottom="0.75" header="0.3" footer="0.3"/>
  <pageSetup paperSize="9" fitToHeight="0" orientation="landscape" r:id="rId1"/>
  <headerFooter differentFirst="1">
    <oddFooter>Page &amp;P 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 tint="0.59999389629810485"/>
  </sheetPr>
  <dimension ref="A1:B7"/>
  <sheetViews>
    <sheetView showGridLines="0" zoomScale="70" zoomScaleNormal="70" workbookViewId="0">
      <selection activeCell="B13" sqref="B13"/>
    </sheetView>
  </sheetViews>
  <sheetFormatPr defaultRowHeight="15"/>
  <cols>
    <col min="1" max="1" width="5.5546875" customWidth="1"/>
    <col min="2" max="2" width="97.5546875" customWidth="1"/>
  </cols>
  <sheetData>
    <row r="1" spans="1:2">
      <c r="A1" s="79" t="s">
        <v>21</v>
      </c>
      <c r="B1" s="79"/>
    </row>
    <row r="2" spans="1:2">
      <c r="A2" s="79"/>
      <c r="B2" s="79"/>
    </row>
    <row r="3" spans="1:2" ht="49.5" customHeight="1">
      <c r="A3" s="79"/>
      <c r="B3" s="79"/>
    </row>
    <row r="4" spans="1:2" ht="82.5" customHeight="1">
      <c r="A4" s="52">
        <v>1</v>
      </c>
      <c r="B4" s="53" t="s">
        <v>40</v>
      </c>
    </row>
    <row r="5" spans="1:2" ht="82.5" customHeight="1">
      <c r="A5" s="54">
        <v>2</v>
      </c>
      <c r="B5" s="55" t="s">
        <v>41</v>
      </c>
    </row>
    <row r="6" spans="1:2" ht="82.5" customHeight="1">
      <c r="A6" s="52">
        <v>3</v>
      </c>
      <c r="B6" s="53" t="s">
        <v>42</v>
      </c>
    </row>
    <row r="7" spans="1:2" ht="132" customHeight="1">
      <c r="A7" s="54">
        <v>4</v>
      </c>
      <c r="B7" s="55" t="s">
        <v>52</v>
      </c>
    </row>
  </sheetData>
  <mergeCells count="1">
    <mergeCell ref="A1:B3"/>
  </mergeCells>
  <phoneticPr fontId="38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3</vt:i4>
      </vt:variant>
    </vt:vector>
  </HeadingPairs>
  <TitlesOfParts>
    <vt:vector size="7" baseType="lpstr">
      <vt:lpstr>首页</vt:lpstr>
      <vt:lpstr>项目汇总信息</vt:lpstr>
      <vt:lpstr>项目进度甘特图</vt:lpstr>
      <vt:lpstr>使用说明</vt:lpstr>
      <vt:lpstr>项目进度甘特图!Print_Titles</vt:lpstr>
      <vt:lpstr>标题区域..BO60</vt:lpstr>
      <vt:lpstr>周期_已选择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Hanna</dc:creator>
  <cp:lastModifiedBy>Auser</cp:lastModifiedBy>
  <cp:lastPrinted>2019-04-25T14:19:22Z</cp:lastPrinted>
  <dcterms:created xsi:type="dcterms:W3CDTF">2016-12-05T05:14:59Z</dcterms:created>
  <dcterms:modified xsi:type="dcterms:W3CDTF">2020-03-13T23:53:07Z</dcterms:modified>
</cp:coreProperties>
</file>