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15" activeTab="1"/>
  </bookViews>
  <sheets>
    <sheet name="工作任务分配图" sheetId="7" r:id="rId1"/>
    <sheet name="工作任务分配表" sheetId="1" r:id="rId2"/>
  </sheets>
  <definedNames>
    <definedName name="_xlnm._FilterDatabase" localSheetId="1" hidden="1">工作任务分配表!$B$10:$H$18</definedName>
  </definedNames>
  <calcPr calcId="144525"/>
</workbook>
</file>

<file path=xl/sharedStrings.xml><?xml version="1.0" encoding="utf-8"?>
<sst xmlns="http://schemas.openxmlformats.org/spreadsheetml/2006/main" count="27">
  <si>
    <t>工作任务分配时间表</t>
  </si>
  <si>
    <t>项目：</t>
  </si>
  <si>
    <t>迎新年大型展示会</t>
  </si>
  <si>
    <t>开始时间：</t>
  </si>
  <si>
    <t>结束时间：</t>
  </si>
  <si>
    <t>任务安排：</t>
  </si>
  <si>
    <t>参见下表</t>
  </si>
  <si>
    <t>单击下拉箭头可以查看任务的相关信息：</t>
  </si>
  <si>
    <t>姓名</t>
  </si>
  <si>
    <t>任务描述</t>
  </si>
  <si>
    <t>开始时间</t>
  </si>
  <si>
    <t>结束时间</t>
  </si>
  <si>
    <t>已完成%</t>
  </si>
  <si>
    <t>已持续（天）</t>
  </si>
  <si>
    <t>还需工作日</t>
  </si>
  <si>
    <t>周军</t>
  </si>
  <si>
    <t>取招贴及横幅</t>
  </si>
  <si>
    <t>苑海东</t>
  </si>
  <si>
    <t>布展台</t>
  </si>
  <si>
    <t>布置展示商品</t>
  </si>
  <si>
    <t>李丽</t>
  </si>
  <si>
    <t>安排彩排</t>
  </si>
  <si>
    <t>展示会总调度</t>
  </si>
  <si>
    <t>展会后勤补给</t>
  </si>
  <si>
    <t>展示会主持</t>
  </si>
  <si>
    <t>张小芳</t>
  </si>
  <si>
    <t>计算展示会损益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</si>
</sst>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30">
    <font>
      <sz val="12"/>
      <name val="宋体"/>
      <charset val="134"/>
    </font>
    <font>
      <b/>
      <i/>
      <sz val="22"/>
      <name val="幼圆"/>
      <charset val="134"/>
    </font>
    <font>
      <b/>
      <sz val="10"/>
      <name val="宋体"/>
      <charset val="134"/>
    </font>
    <font>
      <b/>
      <sz val="10"/>
      <name val="幼圆"/>
      <charset val="134"/>
    </font>
    <font>
      <b/>
      <i/>
      <sz val="12"/>
      <name val="宋体"/>
      <charset val="134"/>
    </font>
    <font>
      <b/>
      <sz val="11"/>
      <color indexed="9"/>
      <name val="宋体"/>
      <charset val="134"/>
    </font>
    <font>
      <sz val="10"/>
      <name val="宋体"/>
      <charset val="134"/>
    </font>
    <font>
      <sz val="10"/>
      <name val="Arial"/>
      <charset val="134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2"/>
      <name val="宋体"/>
      <charset val="134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gray125">
        <fgColor indexed="22"/>
        <bgColor indexed="9"/>
      </patternFill>
    </fill>
    <fill>
      <patternFill patternType="gray125">
        <fgColor indexed="22"/>
        <bgColor indexed="26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</fills>
  <borders count="24">
    <border>
      <left/>
      <right/>
      <top/>
      <bottom/>
      <diagonal/>
    </border>
    <border>
      <left/>
      <right/>
      <top style="thick">
        <color indexed="11"/>
      </top>
      <bottom style="double">
        <color indexed="11"/>
      </bottom>
      <diagonal/>
    </border>
    <border>
      <left/>
      <right style="thin">
        <color indexed="11"/>
      </right>
      <top style="medium">
        <color indexed="11"/>
      </top>
      <bottom style="thin">
        <color indexed="11"/>
      </bottom>
      <diagonal/>
    </border>
    <border>
      <left style="thin">
        <color indexed="11"/>
      </left>
      <right/>
      <top style="medium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 style="medium">
        <color indexed="11"/>
      </bottom>
      <diagonal/>
    </border>
    <border>
      <left style="thin">
        <color indexed="11"/>
      </left>
      <right/>
      <top style="thin">
        <color indexed="11"/>
      </top>
      <bottom style="medium">
        <color indexed="11"/>
      </bottom>
      <diagonal/>
    </border>
    <border>
      <left style="medium">
        <color indexed="11"/>
      </left>
      <right/>
      <top style="medium">
        <color indexed="11"/>
      </top>
      <bottom/>
      <diagonal/>
    </border>
    <border>
      <left/>
      <right/>
      <top style="medium">
        <color indexed="11"/>
      </top>
      <bottom/>
      <diagonal/>
    </border>
    <border>
      <left/>
      <right style="medium">
        <color indexed="11"/>
      </right>
      <top style="medium">
        <color indexed="11"/>
      </top>
      <bottom/>
      <diagonal/>
    </border>
    <border>
      <left style="thin">
        <color indexed="11"/>
      </left>
      <right style="thin">
        <color indexed="11"/>
      </right>
      <top style="medium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medium">
        <color indexed="11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9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8" fillId="21" borderId="17" applyNumberForma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0" fontId="9" fillId="22" borderId="18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6" fillId="0" borderId="21" applyNumberFormat="0" applyFill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4" fillId="0" borderId="22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24" borderId="20" applyNumberFormat="0" applyAlignment="0" applyProtection="0">
      <alignment vertical="center"/>
    </xf>
    <xf numFmtId="0" fontId="27" fillId="24" borderId="17" applyNumberFormat="0" applyAlignment="0" applyProtection="0">
      <alignment vertical="center"/>
    </xf>
    <xf numFmtId="0" fontId="29" fillId="39" borderId="23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</cellStyleXfs>
  <cellXfs count="4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2" borderId="2" xfId="0" applyFont="1" applyFill="1" applyBorder="1"/>
    <xf numFmtId="0" fontId="3" fillId="2" borderId="3" xfId="0" applyFont="1" applyFill="1" applyBorder="1"/>
    <xf numFmtId="0" fontId="2" fillId="2" borderId="4" xfId="0" applyFont="1" applyFill="1" applyBorder="1"/>
    <xf numFmtId="31" fontId="2" fillId="2" borderId="5" xfId="0" applyNumberFormat="1" applyFont="1" applyFill="1" applyBorder="1" applyAlignment="1">
      <alignment horizontal="left"/>
    </xf>
    <xf numFmtId="0" fontId="2" fillId="2" borderId="6" xfId="0" applyFont="1" applyFill="1" applyBorder="1"/>
    <xf numFmtId="31" fontId="2" fillId="2" borderId="7" xfId="0" applyNumberFormat="1" applyFont="1" applyFill="1" applyBorder="1" applyAlignment="1">
      <alignment horizontal="left"/>
    </xf>
    <xf numFmtId="0" fontId="2" fillId="0" borderId="0" xfId="0" applyFont="1" applyBorder="1"/>
    <xf numFmtId="31" fontId="2" fillId="0" borderId="0" xfId="0" applyNumberFormat="1" applyFont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0" fontId="5" fillId="4" borderId="2" xfId="0" applyFont="1" applyFill="1" applyBorder="1" applyAlignment="1" applyProtection="1">
      <alignment vertical="center"/>
      <protection locked="0"/>
    </xf>
    <xf numFmtId="0" fontId="5" fillId="4" borderId="11" xfId="0" applyFont="1" applyFill="1" applyBorder="1" applyAlignment="1" applyProtection="1">
      <alignment vertical="center"/>
    </xf>
    <xf numFmtId="0" fontId="5" fillId="4" borderId="11" xfId="0" applyFont="1" applyFill="1" applyBorder="1" applyAlignment="1" applyProtection="1">
      <alignment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6" fillId="5" borderId="4" xfId="0" applyFont="1" applyFill="1" applyBorder="1"/>
    <xf numFmtId="0" fontId="6" fillId="5" borderId="14" xfId="0" applyFont="1" applyFill="1" applyBorder="1" applyProtection="1">
      <protection locked="0"/>
    </xf>
    <xf numFmtId="177" fontId="6" fillId="5" borderId="14" xfId="0" applyNumberFormat="1" applyFont="1" applyFill="1" applyBorder="1" applyAlignment="1">
      <alignment horizontal="left"/>
    </xf>
    <xf numFmtId="9" fontId="7" fillId="5" borderId="14" xfId="11" applyFont="1" applyFill="1" applyBorder="1" applyAlignment="1">
      <alignment horizontal="center" vertical="center"/>
    </xf>
    <xf numFmtId="176" fontId="6" fillId="5" borderId="14" xfId="0" applyNumberFormat="1" applyFont="1" applyFill="1" applyBorder="1" applyAlignment="1">
      <alignment horizontal="center"/>
    </xf>
    <xf numFmtId="176" fontId="6" fillId="5" borderId="5" xfId="0" applyNumberFormat="1" applyFont="1" applyFill="1" applyBorder="1" applyAlignment="1">
      <alignment horizontal="center"/>
    </xf>
    <xf numFmtId="0" fontId="6" fillId="6" borderId="4" xfId="0" applyFont="1" applyFill="1" applyBorder="1"/>
    <xf numFmtId="0" fontId="6" fillId="6" borderId="14" xfId="0" applyFont="1" applyFill="1" applyBorder="1"/>
    <xf numFmtId="9" fontId="7" fillId="6" borderId="14" xfId="11" applyFont="1" applyFill="1" applyBorder="1" applyAlignment="1">
      <alignment horizontal="center" vertical="center"/>
    </xf>
    <xf numFmtId="176" fontId="6" fillId="6" borderId="14" xfId="0" applyNumberFormat="1" applyFont="1" applyFill="1" applyBorder="1" applyAlignment="1">
      <alignment horizontal="center"/>
    </xf>
    <xf numFmtId="176" fontId="6" fillId="6" borderId="5" xfId="0" applyNumberFormat="1" applyFont="1" applyFill="1" applyBorder="1" applyAlignment="1">
      <alignment horizontal="center"/>
    </xf>
    <xf numFmtId="0" fontId="6" fillId="5" borderId="14" xfId="0" applyFont="1" applyFill="1" applyBorder="1"/>
    <xf numFmtId="0" fontId="6" fillId="7" borderId="4" xfId="0" applyFont="1" applyFill="1" applyBorder="1"/>
    <xf numFmtId="0" fontId="6" fillId="7" borderId="14" xfId="0" applyFont="1" applyFill="1" applyBorder="1"/>
    <xf numFmtId="9" fontId="7" fillId="7" borderId="14" xfId="11" applyFont="1" applyFill="1" applyBorder="1" applyAlignment="1">
      <alignment horizontal="center" vertical="center"/>
    </xf>
    <xf numFmtId="176" fontId="6" fillId="7" borderId="14" xfId="0" applyNumberFormat="1" applyFont="1" applyFill="1" applyBorder="1" applyAlignment="1">
      <alignment horizontal="center"/>
    </xf>
    <xf numFmtId="176" fontId="6" fillId="7" borderId="5" xfId="0" applyNumberFormat="1" applyFont="1" applyFill="1" applyBorder="1" applyAlignment="1">
      <alignment horizontal="center"/>
    </xf>
    <xf numFmtId="0" fontId="6" fillId="8" borderId="6" xfId="0" applyFont="1" applyFill="1" applyBorder="1"/>
    <xf numFmtId="0" fontId="6" fillId="8" borderId="15" xfId="0" applyFont="1" applyFill="1" applyBorder="1"/>
    <xf numFmtId="9" fontId="7" fillId="8" borderId="15" xfId="11" applyFont="1" applyFill="1" applyBorder="1" applyAlignment="1">
      <alignment horizontal="center" vertical="center"/>
    </xf>
    <xf numFmtId="176" fontId="6" fillId="8" borderId="15" xfId="0" applyNumberFormat="1" applyFont="1" applyFill="1" applyBorder="1" applyAlignment="1">
      <alignment horizontal="center"/>
    </xf>
    <xf numFmtId="176" fontId="6" fillId="8" borderId="7" xfId="0" applyNumberFormat="1" applyFont="1" applyFill="1" applyBorder="1" applyAlignment="1">
      <alignment horizontal="center"/>
    </xf>
    <xf numFmtId="0" fontId="0" fillId="0" borderId="0" xfId="0" applyProtection="1"/>
    <xf numFmtId="14" fontId="0" fillId="0" borderId="0" xfId="0" applyNumberFormat="1"/>
    <xf numFmtId="0" fontId="8" fillId="0" borderId="0" xfId="0" applyNumberFormat="1" applyFont="1" applyAlignment="1">
      <alignment horizontal="lef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colors>
    <mruColors>
      <color rgb="00FFFFFF"/>
      <color rgb="00C0C0C0"/>
      <color rgb="00008080"/>
      <color rgb="00FFFF99"/>
      <color rgb="00FFCC99"/>
      <color rgb="00CCFFCC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  <a:r>
              <a:rPr lang="zh-CN" altLang="en-US"/>
              <a:t>任务分配表</a:t>
            </a:r>
            <a:endParaRPr lang="zh-CN" altLang="en-US" sz="12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</a:endParaRP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工作任务分配表!$D$10</c:f>
              <c:strCache>
                <c:ptCount val="1"/>
                <c:pt idx="0">
                  <c:v>开始时间</c:v>
                </c:pt>
              </c:strCache>
            </c:strRef>
          </c:tx>
          <c:spPr>
            <a:noFill/>
            <a:ln w="3175">
              <a:noFill/>
            </a:ln>
          </c:spPr>
          <c:invertIfNegative val="0"/>
          <c:dLbls>
            <c:delete val="1"/>
          </c:dLbls>
          <c:cat>
            <c:strRef>
              <c:f>工作任务分配表!$C$11:$C$18</c:f>
              <c:strCache>
                <c:ptCount val="8"/>
                <c:pt idx="0">
                  <c:v>取招贴及横幅</c:v>
                </c:pt>
                <c:pt idx="1">
                  <c:v>布展台</c:v>
                </c:pt>
                <c:pt idx="2">
                  <c:v>布置展示商品</c:v>
                </c:pt>
                <c:pt idx="3">
                  <c:v>安排彩排</c:v>
                </c:pt>
                <c:pt idx="4">
                  <c:v>展示会总调度</c:v>
                </c:pt>
                <c:pt idx="5">
                  <c:v>展会后勤补给</c:v>
                </c:pt>
                <c:pt idx="6">
                  <c:v>展示会主持</c:v>
                </c:pt>
                <c:pt idx="7">
                  <c:v>计算展示会损益</c:v>
                </c:pt>
              </c:strCache>
            </c:strRef>
          </c:cat>
          <c:val>
            <c:numRef>
              <c:f>工作任务分配表!$D$11:$D$18</c:f>
              <c:numCache>
                <c:formatCode>yyyy"年"m"月"d"日";@</c:formatCode>
                <c:ptCount val="8"/>
                <c:pt idx="0">
                  <c:v>44191</c:v>
                </c:pt>
                <c:pt idx="1">
                  <c:v>44192</c:v>
                </c:pt>
                <c:pt idx="2">
                  <c:v>44193</c:v>
                </c:pt>
                <c:pt idx="3">
                  <c:v>44194</c:v>
                </c:pt>
                <c:pt idx="4">
                  <c:v>44195</c:v>
                </c:pt>
                <c:pt idx="5">
                  <c:v>44196</c:v>
                </c:pt>
                <c:pt idx="6">
                  <c:v>44197</c:v>
                </c:pt>
                <c:pt idx="7">
                  <c:v>44198</c:v>
                </c:pt>
              </c:numCache>
            </c:numRef>
          </c:val>
        </c:ser>
        <c:ser>
          <c:idx val="1"/>
          <c:order val="1"/>
          <c:tx>
            <c:strRef>
              <c:f>工作任务分配表!$G$10</c:f>
              <c:strCache>
                <c:ptCount val="1"/>
                <c:pt idx="0">
                  <c:v>已持续（天）</c:v>
                </c:pt>
              </c:strCache>
            </c:strRef>
          </c:tx>
          <c:spPr>
            <a:solidFill>
              <a:srgbClr val="000000">
                <a:alpha val="100000"/>
              </a:srgbClr>
            </a:solidFill>
            <a:ln w="12700">
              <a:solidFill>
                <a:srgbClr val="000000">
                  <a:alpha val="100000"/>
                </a:srgb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工作任务分配表!$G$11:$G$18</c:f>
              <c:numCache>
                <c:formatCode>0.00_ </c:formatCode>
                <c:ptCount val="8"/>
                <c:pt idx="0">
                  <c:v>204.358937704793</c:v>
                </c:pt>
                <c:pt idx="1">
                  <c:v>568.607235771561</c:v>
                </c:pt>
                <c:pt idx="2">
                  <c:v>337.14254949488</c:v>
                </c:pt>
                <c:pt idx="3">
                  <c:v>532.458626218197</c:v>
                </c:pt>
                <c:pt idx="4">
                  <c:v>587.648125915963</c:v>
                </c:pt>
                <c:pt idx="5">
                  <c:v>599.42</c:v>
                </c:pt>
                <c:pt idx="6">
                  <c:v>282.342957070845</c:v>
                </c:pt>
                <c:pt idx="7">
                  <c:v>73.1</c:v>
                </c:pt>
              </c:numCache>
            </c:numRef>
          </c:val>
        </c:ser>
        <c:ser>
          <c:idx val="2"/>
          <c:order val="2"/>
          <c:tx>
            <c:strRef>
              <c:f>工作任务分配表!$H$10</c:f>
              <c:strCache>
                <c:ptCount val="1"/>
                <c:pt idx="0">
                  <c:v>还需工作日</c:v>
                </c:pt>
              </c:strCache>
            </c:strRef>
          </c:tx>
          <c:spPr>
            <a:solidFill>
              <a:srgbClr val="FFFF00">
                <a:alpha val="100000"/>
              </a:srgbClr>
            </a:solidFill>
            <a:ln w="12700">
              <a:solidFill>
                <a:srgbClr val="000000">
                  <a:alpha val="100000"/>
                </a:srgbClr>
              </a:solidFill>
              <a:prstDash val="solid"/>
            </a:ln>
          </c:spPr>
          <c:invertIfNegative val="0"/>
          <c:dPt>
            <c:idx val="7"/>
            <c:invertIfNegative val="0"/>
            <c:bubble3D val="0"/>
            <c:spPr>
              <a:solidFill>
                <a:srgbClr val="FFFF00">
                  <a:alpha val="100000"/>
                </a:srgbClr>
              </a:solidFill>
              <a:ln w="3175">
                <a:solidFill>
                  <a:srgbClr val="000000">
                    <a:alpha val="100000"/>
                  </a:srgbClr>
                </a:solidFill>
                <a:prstDash val="solid"/>
              </a:ln>
            </c:spPr>
          </c:dPt>
          <c:dLbls>
            <c:delete val="1"/>
          </c:dLbls>
          <c:val>
            <c:numRef>
              <c:f>工作任务分配表!$H$11:$H$18</c:f>
              <c:numCache>
                <c:formatCode>0.00_ </c:formatCode>
                <c:ptCount val="8"/>
                <c:pt idx="0">
                  <c:v>526.641062295207</c:v>
                </c:pt>
                <c:pt idx="1">
                  <c:v>162.392764228439</c:v>
                </c:pt>
                <c:pt idx="2">
                  <c:v>393.85745050512</c:v>
                </c:pt>
                <c:pt idx="3">
                  <c:v>198.541373781803</c:v>
                </c:pt>
                <c:pt idx="4">
                  <c:v>143.351874084037</c:v>
                </c:pt>
                <c:pt idx="5">
                  <c:v>131.58</c:v>
                </c:pt>
                <c:pt idx="6">
                  <c:v>448.657042929155</c:v>
                </c:pt>
                <c:pt idx="7">
                  <c:v>657.9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550561"/>
        <c:axId val="294758688"/>
      </c:barChart>
      <c:catAx>
        <c:axId val="99550561"/>
        <c:scaling>
          <c:orientation val="maxMin"/>
        </c:scaling>
        <c:delete val="0"/>
        <c:axPos val="l"/>
        <c:maj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ajorGridlines>
        <c:numFmt formatCode="General" sourceLinked="0"/>
        <c:majorTickMark val="in"/>
        <c:minorTickMark val="none"/>
        <c:tickLblPos val="nextTo"/>
        <c:spPr>
          <a:ln w="38100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</a:p>
        </c:txPr>
        <c:crossAx val="294758688"/>
        <c:crossesAt val="37980"/>
        <c:auto val="1"/>
        <c:lblAlgn val="ctr"/>
        <c:lblOffset val="100"/>
        <c:noMultiLvlLbl val="0"/>
      </c:catAx>
      <c:valAx>
        <c:axId val="294758688"/>
        <c:scaling>
          <c:orientation val="minMax"/>
          <c:max val="38000"/>
          <c:min val="37980"/>
        </c:scaling>
        <c:delete val="0"/>
        <c:axPos val="t"/>
        <c:maj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inorGridlines>
        <c:numFmt formatCode="m\/d\/yyyy" sourceLinked="0"/>
        <c:majorTickMark val="in"/>
        <c:minorTickMark val="none"/>
        <c:tickLblPos val="nextTo"/>
        <c:spPr>
          <a:ln w="38100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</a:p>
        </c:txPr>
        <c:crossAx val="99550561"/>
        <c:crosses val="autoZero"/>
        <c:crossBetween val="between"/>
        <c:majorUnit val="5"/>
        <c:minorUnit val="1"/>
      </c:valAx>
      <c:spPr>
        <a:solidFill>
          <a:srgbClr val="C0C0C0">
            <a:alpha val="100000"/>
          </a:srgbClr>
        </a:solidFill>
        <a:ln w="12700">
          <a:solidFill>
            <a:srgbClr val="808080">
              <a:alpha val="100000"/>
            </a:srgbClr>
          </a:solidFill>
          <a:prstDash val="solid"/>
        </a:ln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</c:spPr>
  <c:txPr>
    <a:bodyPr rot="0" wrap="square" anchor="ctr" anchorCtr="1"/>
    <a:lstStyle/>
    <a:p>
      <a:pPr>
        <a:defRPr lang="zh-CN" sz="1200" b="0" i="0" u="none" strike="noStrike" baseline="0">
          <a:solidFill>
            <a:srgbClr val="000000"/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383540</xdr:colOff>
      <xdr:row>31</xdr:row>
      <xdr:rowOff>97790</xdr:rowOff>
    </xdr:to>
    <xdr:graphicFrame>
      <xdr:nvGraphicFramePr>
        <xdr:cNvPr id="1025" name="Chart 1"/>
        <xdr:cNvGraphicFramePr/>
      </xdr:nvGraphicFramePr>
      <xdr:xfrm>
        <a:off x="0" y="0"/>
        <a:ext cx="9298940" cy="57080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showGridLines="0" showZeros="0" showOutlineSymbols="0" workbookViewId="0">
      <selection activeCell="A1" sqref="A1"/>
    </sheetView>
  </sheetViews>
  <sheetFormatPr defaultColWidth="9" defaultRowHeight="14.25"/>
  <sheetData/>
  <pageMargins left="0.75" right="0.75" top="1" bottom="1" header="0.510416666666667" footer="0.510416666666667"/>
  <pageSetup paperSize="9" orientation="portrait"/>
  <headerFooter alignWithMargins="0" scaleWithDoc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H26"/>
  <sheetViews>
    <sheetView showGridLines="0" showRowColHeaders="0" tabSelected="1" zoomScale="160" zoomScaleNormal="160" workbookViewId="0">
      <selection activeCell="L15" sqref="L15"/>
    </sheetView>
  </sheetViews>
  <sheetFormatPr defaultColWidth="9" defaultRowHeight="14.25" outlineLevelCol="7"/>
  <cols>
    <col min="1" max="1" width="1.625" customWidth="1"/>
    <col min="2" max="2" width="8.875" customWidth="1"/>
    <col min="3" max="3" width="21" customWidth="1"/>
    <col min="4" max="5" width="13.75"/>
    <col min="6" max="6" width="12.875"/>
    <col min="7" max="7" width="13.75"/>
    <col min="8" max="8" width="15.875"/>
  </cols>
  <sheetData>
    <row r="1" ht="9.75" customHeight="1"/>
    <row r="2" ht="30" customHeight="1" spans="2:4">
      <c r="B2" s="1" t="s">
        <v>0</v>
      </c>
      <c r="C2" s="1"/>
      <c r="D2" s="1"/>
    </row>
    <row r="3" ht="25.5" customHeight="1"/>
    <row r="4" spans="2:3">
      <c r="B4" s="2" t="s">
        <v>1</v>
      </c>
      <c r="C4" s="3" t="s">
        <v>2</v>
      </c>
    </row>
    <row r="5" spans="2:3">
      <c r="B5" s="4" t="s">
        <v>3</v>
      </c>
      <c r="C5" s="5">
        <v>44194</v>
      </c>
    </row>
    <row r="6" spans="2:3">
      <c r="B6" s="4" t="s">
        <v>4</v>
      </c>
      <c r="C6" s="5">
        <v>44196</v>
      </c>
    </row>
    <row r="7" spans="2:3">
      <c r="B7" s="6" t="s">
        <v>5</v>
      </c>
      <c r="C7" s="7" t="s">
        <v>6</v>
      </c>
    </row>
    <row r="8" ht="12.75" customHeight="1" spans="2:3">
      <c r="B8" s="8"/>
      <c r="C8" s="9"/>
    </row>
    <row r="9" ht="16.5" customHeight="1" spans="6:8">
      <c r="F9" s="10" t="s">
        <v>7</v>
      </c>
      <c r="G9" s="11"/>
      <c r="H9" s="12"/>
    </row>
    <row r="10" ht="18" customHeight="1" spans="2:8">
      <c r="B10" s="13" t="s">
        <v>8</v>
      </c>
      <c r="C10" s="14" t="s">
        <v>9</v>
      </c>
      <c r="D10" s="15" t="s">
        <v>10</v>
      </c>
      <c r="E10" s="15" t="s">
        <v>11</v>
      </c>
      <c r="F10" s="16" t="s">
        <v>12</v>
      </c>
      <c r="G10" s="16" t="s">
        <v>13</v>
      </c>
      <c r="H10" s="17" t="s">
        <v>14</v>
      </c>
    </row>
    <row r="11" spans="2:8">
      <c r="B11" s="18" t="s">
        <v>15</v>
      </c>
      <c r="C11" s="19" t="s">
        <v>16</v>
      </c>
      <c r="D11" s="20">
        <v>44191</v>
      </c>
      <c r="E11" s="20">
        <v>44921</v>
      </c>
      <c r="F11" s="21">
        <v>0.279560790293834</v>
      </c>
      <c r="G11" s="22">
        <f>IF(F11="",0,(E11-D11+1)*F11)</f>
        <v>204.358937704793</v>
      </c>
      <c r="H11" s="23">
        <f>E11-D11+1-G11</f>
        <v>526.641062295207</v>
      </c>
    </row>
    <row r="12" spans="2:8">
      <c r="B12" s="24" t="s">
        <v>17</v>
      </c>
      <c r="C12" s="25" t="s">
        <v>18</v>
      </c>
      <c r="D12" s="20">
        <v>44192</v>
      </c>
      <c r="E12" s="20">
        <v>44922</v>
      </c>
      <c r="F12" s="26">
        <v>0.777848475747689</v>
      </c>
      <c r="G12" s="27">
        <f t="shared" ref="G12:G18" si="0">IF(F12="",0,(E12-D12+1)*F12)</f>
        <v>568.607235771561</v>
      </c>
      <c r="H12" s="28">
        <f t="shared" ref="H12:H18" si="1">E12-D12+1-G12</f>
        <v>162.392764228439</v>
      </c>
    </row>
    <row r="13" spans="2:8">
      <c r="B13" s="18" t="s">
        <v>15</v>
      </c>
      <c r="C13" s="29" t="s">
        <v>19</v>
      </c>
      <c r="D13" s="20">
        <v>44193</v>
      </c>
      <c r="E13" s="20">
        <v>44923</v>
      </c>
      <c r="F13" s="21">
        <v>0.461207318050452</v>
      </c>
      <c r="G13" s="22">
        <f t="shared" si="0"/>
        <v>337.14254949488</v>
      </c>
      <c r="H13" s="23">
        <f t="shared" si="1"/>
        <v>393.85745050512</v>
      </c>
    </row>
    <row r="14" spans="2:8">
      <c r="B14" s="30" t="s">
        <v>20</v>
      </c>
      <c r="C14" s="31" t="s">
        <v>21</v>
      </c>
      <c r="D14" s="20">
        <v>44194</v>
      </c>
      <c r="E14" s="20">
        <v>44924</v>
      </c>
      <c r="F14" s="32">
        <v>0.728397573485906</v>
      </c>
      <c r="G14" s="33">
        <f t="shared" si="0"/>
        <v>532.458626218197</v>
      </c>
      <c r="H14" s="34">
        <f t="shared" si="1"/>
        <v>198.541373781803</v>
      </c>
    </row>
    <row r="15" spans="2:8">
      <c r="B15" s="18" t="s">
        <v>15</v>
      </c>
      <c r="C15" s="29" t="s">
        <v>22</v>
      </c>
      <c r="D15" s="20">
        <v>44195</v>
      </c>
      <c r="E15" s="20">
        <v>44925</v>
      </c>
      <c r="F15" s="21">
        <v>0.803896205083396</v>
      </c>
      <c r="G15" s="22">
        <f t="shared" si="0"/>
        <v>587.648125915963</v>
      </c>
      <c r="H15" s="23">
        <f t="shared" si="1"/>
        <v>143.351874084037</v>
      </c>
    </row>
    <row r="16" spans="2:8">
      <c r="B16" s="24" t="s">
        <v>17</v>
      </c>
      <c r="C16" s="25" t="s">
        <v>23</v>
      </c>
      <c r="D16" s="20">
        <v>44196</v>
      </c>
      <c r="E16" s="20">
        <v>44926</v>
      </c>
      <c r="F16" s="26">
        <v>0.82</v>
      </c>
      <c r="G16" s="27">
        <f t="shared" si="0"/>
        <v>599.42</v>
      </c>
      <c r="H16" s="28">
        <f t="shared" si="1"/>
        <v>131.58</v>
      </c>
    </row>
    <row r="17" spans="2:8">
      <c r="B17" s="30" t="s">
        <v>20</v>
      </c>
      <c r="C17" s="31" t="s">
        <v>24</v>
      </c>
      <c r="D17" s="20">
        <v>44197</v>
      </c>
      <c r="E17" s="20">
        <v>44927</v>
      </c>
      <c r="F17" s="32">
        <v>0.386242075336313</v>
      </c>
      <c r="G17" s="33">
        <f t="shared" si="0"/>
        <v>282.342957070845</v>
      </c>
      <c r="H17" s="34">
        <f t="shared" si="1"/>
        <v>448.657042929155</v>
      </c>
    </row>
    <row r="18" spans="2:8">
      <c r="B18" s="35" t="s">
        <v>25</v>
      </c>
      <c r="C18" s="36" t="s">
        <v>26</v>
      </c>
      <c r="D18" s="20">
        <v>44198</v>
      </c>
      <c r="E18" s="20">
        <v>44928</v>
      </c>
      <c r="F18" s="37">
        <v>0.1</v>
      </c>
      <c r="G18" s="38">
        <f t="shared" si="0"/>
        <v>73.1</v>
      </c>
      <c r="H18" s="39">
        <f t="shared" si="1"/>
        <v>657.9</v>
      </c>
    </row>
    <row r="20" spans="2:2">
      <c r="B20" s="40"/>
    </row>
    <row r="21" spans="2:2">
      <c r="B21" s="40"/>
    </row>
    <row r="23" spans="6:6">
      <c r="F23" s="41">
        <v>44662</v>
      </c>
    </row>
    <row r="26" spans="3:3">
      <c r="C26" s="42"/>
    </row>
  </sheetData>
  <protectedRanges>
    <protectedRange sqref="B10:H10" name="区域1" securityDescriptor=""/>
  </protectedRanges>
  <autoFilter ref="B10:H18">
    <extLst/>
  </autoFilter>
  <mergeCells count="2">
    <mergeCell ref="B2:D2"/>
    <mergeCell ref="F9:H9"/>
  </mergeCells>
  <pageMargins left="0.75" right="0.75" top="1" bottom="1" header="0.5" footer="0.5"/>
  <pageSetup paperSize="9" orientation="landscape"/>
  <headerFooter alignWithMargins="0" scaleWithDoc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工作任务分配图</vt:lpstr>
      <vt:lpstr>工作任务分配表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cp:revision>1</cp:revision>
  <dcterms:created xsi:type="dcterms:W3CDTF">1996-12-17T01:32:00Z</dcterms:created>
  <cp:lastPrinted>2003-12-22T00:57:00Z</cp:lastPrinted>
  <dcterms:modified xsi:type="dcterms:W3CDTF">2020-04-23T10:45:56Z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2052-11.1.0.7989</vt:lpwstr>
  </property>
</Properties>
</file>